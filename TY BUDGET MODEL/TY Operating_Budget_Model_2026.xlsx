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Inputs" sheetId="2" r:id="rId5"/>
    <sheet state="visible" name="Marketing-Budget" sheetId="3" r:id="rId6"/>
    <sheet state="visible" name="Tiers" sheetId="4" r:id="rId7"/>
    <sheet state="visible" name="Operating_2026" sheetId="5" r:id="rId8"/>
    <sheet state="visible" name="StressTest"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3">
      <text>
        <t xml:space="preserve">Defaults prefilled from your provided budget screenshot (with additional funding). Adjust as needed.</t>
      </text>
    </comment>
    <comment authorId="0" ref="B5">
      <text>
        <t xml:space="preserve">@vonzelle@vzttechconsulting.com how the stress rev multiplier works? its reducing the rev by 75%?
_Assigned to vonzelle@vzttechconsulting.com_
	-Manuel Sonnleithner
@manuel.sonnleithner@tradersyard.com 
scales all monthly revenues up or down to simulate under- or over-performance without touching costs manually.
Think of it as:
“What if revenue is only X% of what we planned?”
So if:
Planned Jan revenue = €1,000,000
Stress multiplier = 0.75 / 75%
Effective revenue = €750,000
	-Vonzelle Brown</t>
      </text>
    </comment>
    <comment authorId="0" ref="B24">
      <text>
        <t xml:space="preserve">@vonzelle@vzttechconsulting.com @lorenzo@tradersyard.com please put in here reasonable revenue numbers as forecasts, not sure where the current numbers in here coming from 😅
_Assigned to vonzelle@vzttechconsulting.com_
	-Manuel Sonnleithner
I updated the revenue base column
	-Vonzelle Brown
@lorenzo@tradersyard.com please review the planned rev values if they are also fine with your forecasts
_Reassigned to Lorenzo Sostre_
	-Manuel Sonnleithner</t>
      </text>
    </comment>
    <comment authorId="0" ref="B15">
      <text>
        <t xml:space="preserve">@vonzelle@vzttechconsulting.com @lorenzo@tradersyard.com we should discuss and plan how we get our payout%-of-rev to 45% as we currently at 200%. If we take 45% here in the table we need to know the measures to take to achieve this value
_Assigned to vonzelle@vzttechconsulting.com_
	-Manuel Sonnleithner</t>
      </text>
    </comment>
    <comment authorId="0" ref="B11">
      <text>
        <t xml:space="preserve">@lorenzo@tradersyard.com please put in numbers for planned campaign spend for base and stress scenario here
_Assigned to Lorenzo Sostre_
	-Manuel Sonnleithner
created a more detailed sheet "Marketing-Budget" in this table, please have a look there so plan accordingly
	-Manuel Sonnleithner</t>
      </text>
    </comment>
    <comment authorId="0" ref="A11">
      <text>
        <t xml:space="preserve">@vonzelle@vzttechconsulting.com is this % of revenue or what exactly taken as base here?
_Assigned to vonzelle@vzttechconsulting.com_
	-Manuel Sonnleithner
@manuel.sonnleithner@tradersyard.com 
is the default share of revenue you allow yourself to spend on marketing when the business is performing as planned.
It automatically scales marketing up and down with revenue
It prevents overspending when revenue dips
It enforces a hard ROI discipline (no fixed marketing burn)
	-Vonzelle Brown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@flo@tradersyard.com please work together with @lorenzo@tradersyard.com to fill this table with 2026 forecasts
_Assigned to you_
	-Manuel Sonnleithner</t>
      </text>
    </comment>
    <comment authorId="0" ref="B3">
      <text>
        <t xml:space="preserve">@lorenzo@tradersyard.com @vonzelle@vzttechconsulting.com please fill the numbers based on your estimates and planning.
_Assigned to Lorenzo Sostre_
	-Manuel Sonnleithner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@vonzelle@vzttechconsulting.com i am not sure how the "Tier" sheet works and how it is taken into the budget. Does it mean we expect 50% of funded users to get 20k payout and 60% to get 50k payout?
_Assigned to vonzelle@vzttechconsulting.com_
	-Manuel Sonnleithner
@manuel.sonnleithner@tradersyard.com 
defines how much of trading profits you pay out, using tiers instead of a flat % so payouts scale with quality, not just volume.
this doesn't have to be used being we're not paying out traders at 90k per payout but 
How it works (in plain terms)
Traders are grouped by monthly profit
Each row = a profit range (tier)
Each tier has a payout %
Higher profit → higher payout %
Lower profit → lower payout %
The model calculates a blended payout
Not everyone is in the top tier
The sheet estimates an average payout % across all traders
	-Vonzelle Brown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@vonzelle@vzttechconsulting.com we need to adjust the budget to reflect the current 200% rev-vs-payout ratio values, we probably only gradually will be able to reduce this value to healthy values, so we need to plan with higher but declining rev-vs-payout ratios
_Assigned to vonzelle@vzttechconsulting.com_
	-Manuel Sonnleithner
I would not plan for payouts to decline being we are launching futures - controlled payouts are more realistic
	-Vonzelle Brown
the question is how to reflect the current 200% rate of rev-vs-payout here in the budget. Currently the excel-model from you has a 45% ratio. What rates do you forecast for the upcoming months?
	-Manuel Sonnleithner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
      <text>
        <t xml:space="preserve">@vonzelle@vzttechconsulting.com where do i have to set the min cash values? there is not input for it in the input sheet
_Assigned to vonzelle@vzttechconsulting.com_
	-Manuel Sonnleithner
this number comes from inputs tab when you set the stress % it auto calculates
	-Vonzelle Brown</t>
      </text>
    </comment>
  </commentList>
</comments>
</file>

<file path=xl/sharedStrings.xml><?xml version="1.0" encoding="utf-8"?>
<sst xmlns="http://schemas.openxmlformats.org/spreadsheetml/2006/main" count="84" uniqueCount="78">
  <si>
    <t>Operating Budget Model (2026) – Live Excel / Google Sheets Template</t>
  </si>
  <si>
    <t>How to use:</t>
  </si>
  <si>
    <t>1) Go to Inputs: set Scenario, Start Cash, Additional Funding, and monthly Revenue assumptions.</t>
  </si>
  <si>
    <t>2) Review Challenge Payout Tiers: adjust thresholds and payout % if needed.</t>
  </si>
  <si>
    <t>3) Operating_2026 updates automatically. StressTest shows Base vs Stress side-by-side.</t>
  </si>
  <si>
    <t>Color key:</t>
  </si>
  <si>
    <t>Blue text = inputs you can edit. Black text = formulas.</t>
  </si>
  <si>
    <t>Notes:</t>
  </si>
  <si>
    <t>• No dynamic array functions are used (compatible with Excel + Google Sheets).</t>
  </si>
  <si>
    <t>• All currency values are EUR (€). Zeros display as '-'. Negatives show in red parentheses.</t>
  </si>
  <si>
    <t>Reference: Liquidity planning from Manuel Liquidity-Plan Oct 2025</t>
  </si>
  <si>
    <t>INPUTS (edit blue cells)</t>
  </si>
  <si>
    <t>Scenario &amp; Funding</t>
  </si>
  <si>
    <t>Scenario (Base/Stress)</t>
  </si>
  <si>
    <t>Base</t>
  </si>
  <si>
    <t>Stress revenue multiplier</t>
  </si>
  <si>
    <t>Start cash (begin Jan 2026)</t>
  </si>
  <si>
    <t>Additional funding amount</t>
  </si>
  <si>
    <t>Additional funding month (1-12)</t>
  </si>
  <si>
    <t>Cost Parameters</t>
  </si>
  <si>
    <t>Campaign spend % (Base)</t>
  </si>
  <si>
    <t>Campaign spend % (Stress)</t>
  </si>
  <si>
    <t>Eligible payout base % of revenue</t>
  </si>
  <si>
    <t>Stress payout rate adjustment</t>
  </si>
  <si>
    <t>Max challenge payout % of revenue (cap)</t>
  </si>
  <si>
    <t>Mobile trader monthly cost</t>
  </si>
  <si>
    <t>Mobile trader start month (1-12; 13=off)</t>
  </si>
  <si>
    <t>CME dataset monthly cost</t>
  </si>
  <si>
    <t>CME dataset start month (1-12; 13=off)</t>
  </si>
  <si>
    <t>Other fixed ops / tools (monthly)</t>
  </si>
  <si>
    <t>Monthly Assumptions (2026)</t>
  </si>
  <si>
    <t>Month</t>
  </si>
  <si>
    <t>Revenue (Base)</t>
  </si>
  <si>
    <t>Team Cost</t>
  </si>
  <si>
    <t>Loan Repayment</t>
  </si>
  <si>
    <t>Google Ads</t>
  </si>
  <si>
    <t>Meta Ads</t>
  </si>
  <si>
    <t>Tiktok Ads</t>
  </si>
  <si>
    <t>X Ads</t>
  </si>
  <si>
    <t>LinkedIn Ads</t>
  </si>
  <si>
    <t>Influencer-Marketing</t>
  </si>
  <si>
    <t>Affiliate-Cost (x% of rev)</t>
  </si>
  <si>
    <t>Giveaway Payouts</t>
  </si>
  <si>
    <t>Marketing Team</t>
  </si>
  <si>
    <t>Marketing Tools</t>
  </si>
  <si>
    <t>Challenge Payout Tiers (sorted ascending, used with VLOOKUP TRUE)</t>
  </si>
  <si>
    <t>Lower bound (Payout Base €)</t>
  </si>
  <si>
    <t>Payout %</t>
  </si>
  <si>
    <t>Tip: If you want payout tiers based on trader PnL instead of revenue, set Payout Base in Operating_2026 to trader PnL.</t>
  </si>
  <si>
    <t>Operating Budget (2026)</t>
  </si>
  <si>
    <t>Scenario:</t>
  </si>
  <si>
    <t>Min ending cash:</t>
  </si>
  <si>
    <t>Ending cash (Dec):</t>
  </si>
  <si>
    <t>Begin Cash</t>
  </si>
  <si>
    <t>Revenue</t>
  </si>
  <si>
    <t>Campaign</t>
  </si>
  <si>
    <t>Payout Base</t>
  </si>
  <si>
    <t>Challenge Payout</t>
  </si>
  <si>
    <t>Rev-vs-Payout ratio</t>
  </si>
  <si>
    <t>Loan</t>
  </si>
  <si>
    <t>Mobile Trader</t>
  </si>
  <si>
    <t>CME Dataset</t>
  </si>
  <si>
    <t>Total Costs</t>
  </si>
  <si>
    <t>Net Cashflow</t>
  </si>
  <si>
    <t>Funding In</t>
  </si>
  <si>
    <t>End Cash</t>
  </si>
  <si>
    <t>Month#</t>
  </si>
  <si>
    <t>Total / Avg</t>
  </si>
  <si>
    <t>Stress Test (Base vs Revenue Downside)</t>
  </si>
  <si>
    <t>Downside multiplier:</t>
  </si>
  <si>
    <t>This sheet calculates Base and Stress in parallel (no scenario toggle needed).</t>
  </si>
  <si>
    <t>End Cash (Base)</t>
  </si>
  <si>
    <t>End Cash (Stress)</t>
  </si>
  <si>
    <t>Net CF (Base)</t>
  </si>
  <si>
    <t>Net CF (Stress)</t>
  </si>
  <si>
    <t>Min Cash (Base)</t>
  </si>
  <si>
    <t>Min Cash (Stress)</t>
  </si>
  <si>
    <t>Interpretation: If 'Min Cash (Stress)' drops below your 3-month fixed-cost buffer, activate cost controls.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</si>
</sst>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Red]\(\€#,##0\);\-"/>
    <numFmt numFmtId="166" formatCode="mmm"/>
  </numFmts>
  <fonts count="13">
    <font>
      <sz val="11.0"/>
      <color theme="1"/>
      <name val="Calibri"/>
      <scheme val="minor"/>
    </font>
    <font>
      <b/>
      <sz val="16.0"/>
      <color theme="1"/>
      <name val="Calibri"/>
    </font>
    <font>
      <b/>
      <sz val="11.0"/>
      <color theme="1"/>
      <name val="Calibri"/>
    </font>
    <font>
      <color theme="1"/>
      <name val="Calibri"/>
      <scheme val="minor"/>
    </font>
    <font>
      <u/>
      <color theme="1"/>
      <name val="Calibri"/>
      <scheme val="minor"/>
    </font>
    <font>
      <b/>
      <sz val="14.0"/>
      <color theme="1"/>
      <name val="Calibri"/>
    </font>
    <font/>
    <font>
      <b/>
      <sz val="11.0"/>
      <color rgb="FFFFFFFF"/>
      <name val="Calibri"/>
    </font>
    <font>
      <sz val="11.0"/>
      <color rgb="FF000000"/>
      <name val="Calibri"/>
    </font>
    <font>
      <sz val="11.0"/>
      <color rgb="FF0000FF"/>
      <name val="Calibri"/>
    </font>
    <font>
      <sz val="11.0"/>
      <color theme="1"/>
      <name val="Calibri"/>
    </font>
    <font>
      <b/>
      <sz val="12.0"/>
      <color theme="1"/>
      <name val="Calibri"/>
    </font>
    <font>
      <sz val="11.0"/>
      <color rgb="FF008000"/>
      <name val="Calibri"/>
    </font>
  </fonts>
  <fills count="6">
    <fill>
      <patternFill patternType="none"/>
    </fill>
    <fill>
      <patternFill patternType="lightGray"/>
    </fill>
    <fill>
      <patternFill patternType="solid">
        <fgColor rgb="FFFFF2CC"/>
        <bgColor rgb="FFFFF2CC"/>
      </patternFill>
    </fill>
    <fill>
      <patternFill patternType="solid">
        <fgColor rgb="FF1F4E79"/>
        <bgColor rgb="FF1F4E79"/>
      </patternFill>
    </fill>
    <fill>
      <patternFill patternType="solid">
        <fgColor rgb="FF404040"/>
        <bgColor rgb="FF404040"/>
      </patternFill>
    </fill>
    <fill>
      <patternFill patternType="solid">
        <fgColor rgb="FFF2F2F2"/>
        <bgColor rgb="FFF2F2F2"/>
      </patternFill>
    </fill>
  </fills>
  <borders count="6">
    <border/>
    <border>
      <left/>
      <top/>
      <bottom/>
    </border>
    <border>
      <top/>
      <bottom/>
    </border>
    <border>
      <right/>
      <top/>
      <bottom/>
    </border>
    <border>
      <left style="thin">
        <color rgb="FFC0C0C0"/>
      </left>
      <right style="thin">
        <color rgb="FFC0C0C0"/>
      </right>
      <top style="thin">
        <color rgb="FFC0C0C0"/>
      </top>
      <bottom style="thin">
        <color rgb="FFC0C0C0"/>
      </bottom>
    </border>
    <border>
      <left/>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4" numFmtId="0" xfId="0" applyAlignment="1" applyFill="1" applyFont="1">
      <alignment readingOrder="0" shrinkToFit="0" wrapText="0"/>
    </xf>
    <xf borderId="1" fillId="2" fontId="5" numFmtId="0" xfId="0" applyBorder="1" applyFont="1"/>
    <xf borderId="2" fillId="0" fontId="6" numFmtId="0" xfId="0" applyBorder="1" applyFont="1"/>
    <xf borderId="3" fillId="0" fontId="6" numFmtId="0" xfId="0" applyBorder="1" applyFont="1"/>
    <xf borderId="1" fillId="3" fontId="7" numFmtId="0" xfId="0" applyAlignment="1" applyBorder="1" applyFill="1" applyFont="1">
      <alignment horizontal="left" vertical="center"/>
    </xf>
    <xf borderId="0" fillId="0" fontId="8" numFmtId="0" xfId="0" applyAlignment="1" applyFont="1">
      <alignment horizontal="left" shrinkToFit="0" vertical="center" wrapText="1"/>
    </xf>
    <xf borderId="0" fillId="0" fontId="9" numFmtId="0" xfId="0" applyFont="1"/>
    <xf borderId="0" fillId="0" fontId="9" numFmtId="164" xfId="0" applyFont="1" applyNumberFormat="1"/>
    <xf borderId="0" fillId="0" fontId="9" numFmtId="165" xfId="0" applyAlignment="1" applyFont="1" applyNumberFormat="1">
      <alignment readingOrder="0"/>
    </xf>
    <xf borderId="0" fillId="0" fontId="9" numFmtId="165" xfId="0" applyFont="1" applyNumberFormat="1"/>
    <xf borderId="0" fillId="0" fontId="9" numFmtId="1" xfId="0" applyAlignment="1" applyFont="1" applyNumberFormat="1">
      <alignment readingOrder="0"/>
    </xf>
    <xf borderId="0" fillId="0" fontId="10" numFmtId="0" xfId="0" applyAlignment="1" applyFont="1">
      <alignment horizontal="left" shrinkToFit="0" vertical="center" wrapText="1"/>
    </xf>
    <xf borderId="1" fillId="3" fontId="7" numFmtId="0" xfId="0" applyAlignment="1" applyBorder="1" applyFont="1">
      <alignment horizontal="left" shrinkToFit="0" vertical="center" wrapText="1"/>
    </xf>
    <xf borderId="4" fillId="4" fontId="7" numFmtId="0" xfId="0" applyAlignment="1" applyBorder="1" applyFill="1" applyFont="1">
      <alignment horizontal="center" vertical="center"/>
    </xf>
    <xf borderId="4" fillId="0" fontId="10" numFmtId="17" xfId="0" applyAlignment="1" applyBorder="1" applyFont="1" applyNumberFormat="1">
      <alignment horizontal="left"/>
    </xf>
    <xf borderId="4" fillId="0" fontId="9" numFmtId="165" xfId="0" applyAlignment="1" applyBorder="1" applyFont="1" applyNumberFormat="1">
      <alignment readingOrder="0"/>
    </xf>
    <xf borderId="4" fillId="0" fontId="9" numFmtId="165" xfId="0" applyBorder="1" applyFont="1" applyNumberFormat="1"/>
    <xf borderId="0" fillId="0" fontId="3" numFmtId="0" xfId="0" applyAlignment="1" applyFont="1">
      <alignment readingOrder="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3" numFmtId="49" xfId="0" applyAlignment="1" applyFont="1" applyNumberFormat="1">
      <alignment horizontal="left" readingOrder="0" shrinkToFit="0" vertical="center" wrapText="0"/>
    </xf>
    <xf borderId="4" fillId="0" fontId="10" numFmtId="17" xfId="0" applyAlignment="1" applyBorder="1" applyFont="1" applyNumberFormat="1">
      <alignment shrinkToFit="0" vertical="center" wrapText="0"/>
    </xf>
    <xf borderId="0" fillId="0" fontId="3" numFmtId="0" xfId="0" applyAlignment="1" applyFont="1">
      <alignment shrinkToFit="0" vertical="center" wrapText="0"/>
    </xf>
    <xf borderId="0" fillId="0" fontId="11" numFmtId="0" xfId="0" applyAlignment="1" applyFont="1">
      <alignment shrinkToFit="0" wrapText="0"/>
    </xf>
    <xf borderId="4" fillId="0" fontId="9" numFmtId="164" xfId="0" applyBorder="1" applyFont="1" applyNumberFormat="1"/>
    <xf borderId="0" fillId="0" fontId="10" numFmtId="0" xfId="0" applyAlignment="1" applyFont="1">
      <alignment shrinkToFit="0" wrapText="1"/>
    </xf>
    <xf borderId="0" fillId="0" fontId="12" numFmtId="0" xfId="0" applyFont="1"/>
    <xf borderId="0" fillId="0" fontId="10" numFmtId="165" xfId="0" applyFont="1" applyNumberFormat="1"/>
    <xf borderId="4" fillId="3" fontId="7" numFmtId="0" xfId="0" applyAlignment="1" applyBorder="1" applyFont="1">
      <alignment horizontal="center" shrinkToFit="0" vertical="center" wrapText="1"/>
    </xf>
    <xf borderId="4" fillId="3" fontId="7" numFmtId="0" xfId="0" applyAlignment="1" applyBorder="1" applyFont="1">
      <alignment horizontal="center" readingOrder="0" shrinkToFit="0" vertical="center" wrapText="1"/>
    </xf>
    <xf borderId="5" fillId="3" fontId="7" numFmtId="0" xfId="0" applyAlignment="1" applyBorder="1" applyFont="1">
      <alignment horizontal="center" vertical="center"/>
    </xf>
    <xf borderId="4" fillId="0" fontId="10" numFmtId="166" xfId="0" applyAlignment="1" applyBorder="1" applyFont="1" applyNumberFormat="1">
      <alignment horizontal="left"/>
    </xf>
    <xf borderId="4" fillId="0" fontId="10" numFmtId="165" xfId="0" applyAlignment="1" applyBorder="1" applyFont="1" applyNumberFormat="1">
      <alignment horizontal="right"/>
    </xf>
    <xf borderId="4" fillId="0" fontId="10" numFmtId="164" xfId="0" applyAlignment="1" applyBorder="1" applyFont="1" applyNumberFormat="1">
      <alignment horizontal="right"/>
    </xf>
    <xf borderId="4" fillId="0" fontId="10" numFmtId="10" xfId="0" applyAlignment="1" applyBorder="1" applyFont="1" applyNumberFormat="1">
      <alignment horizontal="right"/>
    </xf>
    <xf borderId="0" fillId="0" fontId="10" numFmtId="1" xfId="0" applyAlignment="1" applyFont="1" applyNumberFormat="1">
      <alignment horizontal="right"/>
    </xf>
    <xf borderId="4" fillId="5" fontId="2" numFmtId="0" xfId="0" applyAlignment="1" applyBorder="1" applyFill="1" applyFont="1">
      <alignment horizontal="left"/>
    </xf>
    <xf borderId="4" fillId="5" fontId="2" numFmtId="0" xfId="0" applyAlignment="1" applyBorder="1" applyFont="1">
      <alignment horizontal="right"/>
    </xf>
    <xf borderId="4" fillId="5" fontId="2" numFmtId="165" xfId="0" applyAlignment="1" applyBorder="1" applyFont="1" applyNumberFormat="1">
      <alignment horizontal="right"/>
    </xf>
    <xf borderId="4" fillId="5" fontId="2" numFmtId="164" xfId="0" applyAlignment="1" applyBorder="1" applyFont="1" applyNumberFormat="1">
      <alignment horizontal="right"/>
    </xf>
    <xf borderId="0" fillId="0" fontId="12" numFmtId="164" xfId="0" applyFont="1" applyNumberFormat="1"/>
    <xf borderId="4" fillId="0" fontId="2" numFmtId="165" xfId="0" applyAlignment="1" applyBorder="1" applyFont="1" applyNumberFormat="1">
      <alignment horizontal="right"/>
    </xf>
    <xf borderId="4" fillId="0" fontId="10" numFmtId="0" xfId="0" applyBorder="1" applyFont="1"/>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4D7F0"/>
          <bgColor rgb="FFD4D7F0"/>
        </patternFill>
      </fill>
      <border/>
    </dxf>
    <dxf>
      <border>
        <left style="thin">
          <color rgb="FF535FC1"/>
        </left>
        <right style="thin">
          <color rgb="FF535FC1"/>
        </right>
        <top style="thin">
          <color rgb="FF535FC1"/>
        </top>
        <bottom style="thin">
          <color rgb="FF535FC1"/>
        </bottom>
      </border>
    </dxf>
  </dxfs>
  <tableStyles count="1">
    <tableStyle count="5" pivot="0" name="Marketing-Budget-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ref="A2:K15" displayName="Marketing_Budget_2026" name="Marketing_Budget_2026" id="1">
  <tableColumns count="11">
    <tableColumn name="Month" id="1"/>
    <tableColumn name="Google Ads" id="2"/>
    <tableColumn name="Meta Ads" id="3"/>
    <tableColumn name="Tiktok Ads" id="4"/>
    <tableColumn name="X Ads" id="5"/>
    <tableColumn name="LinkedIn Ads" id="6"/>
    <tableColumn name="Influencer-Marketing" id="7"/>
    <tableColumn name="Affiliate-Cost (x% of rev)" id="8"/>
    <tableColumn name="Giveaway Payouts" id="9"/>
    <tableColumn name="Marketing Team" id="10"/>
    <tableColumn name="Marketing Tools" id="11"/>
  </tableColumns>
  <tableStyleInfo name="Marketing-Budg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gLoMUrBXGImjFEIRvhAlinUxUzwhQj6GySlGXiPI3QQ/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9.14"/>
    <col customWidth="1" min="2" max="6" width="22.0"/>
    <col customWidth="1" min="7" max="26" width="8.71"/>
  </cols>
  <sheetData>
    <row r="1" ht="14.25" customHeight="1">
      <c r="A1" s="1" t="s">
        <v>0</v>
      </c>
    </row>
    <row r="2" ht="14.25" customHeight="1"/>
    <row r="3" ht="14.25" customHeight="1">
      <c r="A3" s="2" t="s">
        <v>1</v>
      </c>
    </row>
    <row r="4" ht="14.25" customHeight="1">
      <c r="A4" s="3" t="s">
        <v>2</v>
      </c>
    </row>
    <row r="5" ht="14.25" customHeight="1">
      <c r="A5" s="3" t="s">
        <v>3</v>
      </c>
    </row>
    <row r="6" ht="14.25" customHeight="1">
      <c r="A6" s="3" t="s">
        <v>4</v>
      </c>
    </row>
    <row r="7" ht="14.25" customHeight="1"/>
    <row r="8" ht="14.25" customHeight="1">
      <c r="A8" s="3" t="s">
        <v>5</v>
      </c>
    </row>
    <row r="9" ht="14.25" customHeight="1">
      <c r="A9" s="3" t="s">
        <v>6</v>
      </c>
    </row>
    <row r="10" ht="14.25" customHeight="1"/>
    <row r="11" ht="14.25" customHeight="1">
      <c r="A11" s="3" t="s">
        <v>7</v>
      </c>
    </row>
    <row r="12" ht="14.25" customHeight="1">
      <c r="A12" s="3" t="s">
        <v>8</v>
      </c>
    </row>
    <row r="13" ht="14.25" customHeight="1">
      <c r="A13" s="3" t="s">
        <v>9</v>
      </c>
    </row>
    <row r="14" ht="14.25" customHeight="1"/>
    <row r="15" ht="14.25" customHeight="1"/>
    <row r="16" ht="14.25" customHeight="1"/>
    <row r="17" ht="14.25" customHeight="1">
      <c r="A17" s="4" t="s">
        <v>10</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A17"/>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3" width="18.0"/>
    <col customWidth="1" min="4" max="4" width="28.0"/>
    <col customWidth="1" min="5" max="6" width="18.0"/>
    <col customWidth="1" min="7" max="26" width="8.71"/>
  </cols>
  <sheetData>
    <row r="1" ht="14.25" customHeight="1">
      <c r="A1" s="5" t="s">
        <v>11</v>
      </c>
      <c r="B1" s="6"/>
      <c r="C1" s="6"/>
      <c r="D1" s="6"/>
      <c r="E1" s="6"/>
      <c r="F1" s="7"/>
    </row>
    <row r="2" ht="14.25" customHeight="1"/>
    <row r="3" ht="14.25" customHeight="1">
      <c r="A3" s="8" t="s">
        <v>12</v>
      </c>
      <c r="B3" s="6"/>
      <c r="C3" s="6"/>
      <c r="D3" s="6"/>
      <c r="E3" s="6"/>
      <c r="F3" s="7"/>
    </row>
    <row r="4" ht="18.0" customHeight="1">
      <c r="A4" s="9" t="s">
        <v>13</v>
      </c>
      <c r="B4" s="10" t="s">
        <v>14</v>
      </c>
    </row>
    <row r="5" ht="18.0" customHeight="1">
      <c r="A5" s="9" t="s">
        <v>15</v>
      </c>
      <c r="B5" s="11">
        <v>0.75</v>
      </c>
    </row>
    <row r="6" ht="18.0" customHeight="1">
      <c r="A6" s="9" t="s">
        <v>16</v>
      </c>
      <c r="B6" s="12">
        <v>1000000.0</v>
      </c>
    </row>
    <row r="7" ht="18.0" customHeight="1">
      <c r="A7" s="9" t="s">
        <v>17</v>
      </c>
      <c r="B7" s="13">
        <v>2000000.0</v>
      </c>
    </row>
    <row r="8" ht="18.0" customHeight="1">
      <c r="A8" s="9" t="s">
        <v>18</v>
      </c>
      <c r="B8" s="14">
        <v>5.0</v>
      </c>
    </row>
    <row r="9" ht="18.0" customHeight="1">
      <c r="A9" s="15"/>
    </row>
    <row r="10" ht="18.0" customHeight="1">
      <c r="A10" s="16" t="s">
        <v>19</v>
      </c>
      <c r="B10" s="6"/>
      <c r="C10" s="6"/>
      <c r="D10" s="6"/>
      <c r="E10" s="6"/>
      <c r="F10" s="7"/>
    </row>
    <row r="11" ht="18.0" customHeight="1">
      <c r="A11" s="9" t="s">
        <v>20</v>
      </c>
      <c r="B11" s="11">
        <v>0.15</v>
      </c>
    </row>
    <row r="12" ht="18.0" customHeight="1">
      <c r="A12" s="9" t="s">
        <v>21</v>
      </c>
      <c r="B12" s="11">
        <v>0.1</v>
      </c>
    </row>
    <row r="13" ht="18.0" customHeight="1">
      <c r="A13" s="9" t="s">
        <v>22</v>
      </c>
      <c r="B13" s="11">
        <v>1.0</v>
      </c>
    </row>
    <row r="14" ht="18.0" customHeight="1">
      <c r="A14" s="9" t="s">
        <v>23</v>
      </c>
      <c r="B14" s="11">
        <v>0.9</v>
      </c>
    </row>
    <row r="15" ht="27.75" customHeight="1">
      <c r="A15" s="9" t="s">
        <v>24</v>
      </c>
      <c r="B15" s="11">
        <v>0.45</v>
      </c>
    </row>
    <row r="16" ht="18.0" customHeight="1">
      <c r="A16" s="9" t="s">
        <v>25</v>
      </c>
      <c r="B16" s="12">
        <v>0.0</v>
      </c>
    </row>
    <row r="17" ht="27.75" customHeight="1">
      <c r="A17" s="9" t="s">
        <v>26</v>
      </c>
      <c r="B17" s="14">
        <v>1.0</v>
      </c>
    </row>
    <row r="18" ht="18.0" customHeight="1">
      <c r="A18" s="9" t="s">
        <v>27</v>
      </c>
      <c r="B18" s="13">
        <v>16200.0</v>
      </c>
    </row>
    <row r="19" ht="27.75" customHeight="1">
      <c r="A19" s="9" t="s">
        <v>28</v>
      </c>
      <c r="B19" s="14">
        <v>1.0</v>
      </c>
    </row>
    <row r="20" ht="18.0" customHeight="1">
      <c r="A20" s="9" t="s">
        <v>29</v>
      </c>
      <c r="B20" s="13">
        <v>20000.0</v>
      </c>
    </row>
    <row r="21" ht="14.25" customHeight="1"/>
    <row r="22" ht="14.25" customHeight="1">
      <c r="A22" s="8" t="s">
        <v>30</v>
      </c>
      <c r="B22" s="6"/>
      <c r="C22" s="6"/>
      <c r="D22" s="6"/>
      <c r="E22" s="6"/>
      <c r="F22" s="7"/>
    </row>
    <row r="23" ht="19.5" customHeight="1">
      <c r="A23" s="17" t="s">
        <v>31</v>
      </c>
      <c r="B23" s="17" t="s">
        <v>32</v>
      </c>
      <c r="C23" s="17" t="s">
        <v>33</v>
      </c>
      <c r="D23" s="17" t="s">
        <v>34</v>
      </c>
    </row>
    <row r="24" ht="18.0" customHeight="1">
      <c r="A24" s="18">
        <v>46023.0</v>
      </c>
      <c r="B24" s="19">
        <v>25000.0</v>
      </c>
      <c r="C24" s="19">
        <v>85000.0</v>
      </c>
      <c r="D24" s="19">
        <v>58000.0</v>
      </c>
    </row>
    <row r="25" ht="18.0" customHeight="1">
      <c r="A25" s="18">
        <v>46054.0</v>
      </c>
      <c r="B25" s="19">
        <v>30000.0</v>
      </c>
      <c r="C25" s="19">
        <v>85000.0</v>
      </c>
      <c r="D25" s="19">
        <v>0.0</v>
      </c>
    </row>
    <row r="26" ht="18.0" customHeight="1">
      <c r="A26" s="18">
        <v>46082.0</v>
      </c>
      <c r="B26" s="19">
        <v>36000.0</v>
      </c>
      <c r="C26" s="19">
        <v>85000.0</v>
      </c>
      <c r="D26" s="19">
        <v>0.0</v>
      </c>
    </row>
    <row r="27" ht="18.0" customHeight="1">
      <c r="A27" s="18">
        <v>46113.0</v>
      </c>
      <c r="B27" s="19">
        <v>43000.0</v>
      </c>
      <c r="C27" s="19">
        <v>85000.0</v>
      </c>
      <c r="D27" s="19">
        <v>0.0</v>
      </c>
    </row>
    <row r="28" ht="18.0" customHeight="1">
      <c r="A28" s="18">
        <v>46143.0</v>
      </c>
      <c r="B28" s="19">
        <v>52000.0</v>
      </c>
      <c r="C28" s="19">
        <v>85000.0</v>
      </c>
      <c r="D28" s="19">
        <v>0.0</v>
      </c>
    </row>
    <row r="29" ht="18.0" customHeight="1">
      <c r="A29" s="18">
        <v>46174.0</v>
      </c>
      <c r="B29" s="19">
        <v>62000.0</v>
      </c>
      <c r="C29" s="19">
        <v>85000.0</v>
      </c>
      <c r="D29" s="19">
        <v>0.0</v>
      </c>
    </row>
    <row r="30" ht="18.0" customHeight="1">
      <c r="A30" s="18">
        <v>46204.0</v>
      </c>
      <c r="B30" s="19">
        <v>75000.0</v>
      </c>
      <c r="C30" s="20">
        <v>100000.0</v>
      </c>
      <c r="D30" s="19">
        <v>58000.0</v>
      </c>
    </row>
    <row r="31" ht="18.0" customHeight="1">
      <c r="A31" s="18">
        <v>46235.0</v>
      </c>
      <c r="B31" s="19">
        <v>90000.0</v>
      </c>
      <c r="C31" s="20">
        <v>100000.0</v>
      </c>
      <c r="D31" s="19">
        <v>0.0</v>
      </c>
    </row>
    <row r="32" ht="18.0" customHeight="1">
      <c r="A32" s="18">
        <v>46266.0</v>
      </c>
      <c r="B32" s="19">
        <v>108000.0</v>
      </c>
      <c r="C32" s="20">
        <v>100000.0</v>
      </c>
      <c r="D32" s="19">
        <v>0.0</v>
      </c>
    </row>
    <row r="33" ht="18.0" customHeight="1">
      <c r="A33" s="18">
        <v>46296.0</v>
      </c>
      <c r="B33" s="19">
        <v>130000.0</v>
      </c>
      <c r="C33" s="20">
        <v>100000.0</v>
      </c>
      <c r="D33" s="19">
        <v>0.0</v>
      </c>
    </row>
    <row r="34" ht="18.0" customHeight="1">
      <c r="A34" s="18">
        <v>46327.0</v>
      </c>
      <c r="B34" s="19">
        <v>156000.0</v>
      </c>
      <c r="C34" s="20">
        <v>100000.0</v>
      </c>
      <c r="D34" s="19">
        <v>0.0</v>
      </c>
    </row>
    <row r="35" ht="18.0" customHeight="1">
      <c r="A35" s="18">
        <v>46357.0</v>
      </c>
      <c r="B35" s="19">
        <v>187000.0</v>
      </c>
      <c r="C35" s="20">
        <v>100000.0</v>
      </c>
      <c r="D35" s="19">
        <v>0.0</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F1"/>
    <mergeCell ref="A3:F3"/>
    <mergeCell ref="A10:F10"/>
    <mergeCell ref="A22:F22"/>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86"/>
    <col customWidth="1" min="2" max="2" width="17.0"/>
    <col customWidth="1" min="3" max="3" width="15.14"/>
    <col customWidth="1" min="4" max="4" width="16.14"/>
    <col customWidth="1" min="6" max="6" width="18.29"/>
    <col customWidth="1" min="7" max="7" width="25.43"/>
    <col customWidth="1" min="8" max="8" width="28.57"/>
    <col customWidth="1" min="9" max="9" width="22.86"/>
    <col customWidth="1" min="10" max="11" width="19.86"/>
  </cols>
  <sheetData>
    <row r="1">
      <c r="B1" s="21"/>
      <c r="C1" s="21"/>
    </row>
    <row r="2" ht="22.5" customHeight="1">
      <c r="A2" s="22" t="s">
        <v>31</v>
      </c>
      <c r="B2" s="23" t="s">
        <v>35</v>
      </c>
      <c r="C2" s="23" t="s">
        <v>36</v>
      </c>
      <c r="D2" s="23" t="s">
        <v>37</v>
      </c>
      <c r="E2" s="23" t="s">
        <v>38</v>
      </c>
      <c r="F2" s="23" t="s">
        <v>39</v>
      </c>
      <c r="G2" s="23" t="s">
        <v>40</v>
      </c>
      <c r="H2" s="23" t="s">
        <v>41</v>
      </c>
      <c r="I2" s="24" t="s">
        <v>42</v>
      </c>
      <c r="J2" s="23" t="s">
        <v>43</v>
      </c>
      <c r="K2" s="23" t="s">
        <v>44</v>
      </c>
    </row>
    <row r="3" ht="22.5" customHeight="1">
      <c r="A3" s="25">
        <v>46023.0</v>
      </c>
    </row>
    <row r="4" ht="22.5" customHeight="1">
      <c r="A4" s="25">
        <v>46054.0</v>
      </c>
    </row>
    <row r="5" ht="22.5" customHeight="1">
      <c r="A5" s="25">
        <v>46082.0</v>
      </c>
    </row>
    <row r="6" ht="22.5" customHeight="1">
      <c r="A6" s="25">
        <v>46113.0</v>
      </c>
    </row>
    <row r="7" ht="22.5" customHeight="1">
      <c r="A7" s="25">
        <v>46143.0</v>
      </c>
    </row>
    <row r="8" ht="22.5" customHeight="1">
      <c r="A8" s="25">
        <v>46174.0</v>
      </c>
    </row>
    <row r="9" ht="22.5" customHeight="1">
      <c r="A9" s="25">
        <v>46204.0</v>
      </c>
    </row>
    <row r="10" ht="22.5" customHeight="1">
      <c r="A10" s="25">
        <v>46235.0</v>
      </c>
    </row>
    <row r="11" ht="22.5" customHeight="1">
      <c r="A11" s="25">
        <v>46266.0</v>
      </c>
    </row>
    <row r="12" ht="22.5" customHeight="1">
      <c r="A12" s="25">
        <v>46296.0</v>
      </c>
    </row>
    <row r="13" ht="22.5" customHeight="1">
      <c r="A13" s="25">
        <v>46327.0</v>
      </c>
    </row>
    <row r="14" ht="22.5" customHeight="1">
      <c r="A14" s="25">
        <v>46357.0</v>
      </c>
    </row>
    <row r="15" ht="22.5" customHeight="1">
      <c r="A15" s="26"/>
      <c r="B15" s="26"/>
      <c r="C15" s="26"/>
      <c r="D15" s="26"/>
      <c r="E15" s="26"/>
      <c r="F15" s="26"/>
      <c r="G15" s="26"/>
      <c r="H15" s="26"/>
      <c r="I15" s="26"/>
      <c r="J15" s="26"/>
      <c r="K15" s="26"/>
    </row>
  </sheetData>
  <dataValidations>
    <dataValidation type="custom" allowBlank="1" showDropDown="1" sqref="A3:A14">
      <formula1>OR(NOT(ISERROR(DATEVALUE(A3))), AND(ISNUMBER(A3), LEFT(CELL("format", A3))="D"))</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20.14"/>
    <col customWidth="1" min="3" max="26" width="8.71"/>
  </cols>
  <sheetData>
    <row r="1" ht="14.25" customHeight="1">
      <c r="A1" s="27" t="s">
        <v>45</v>
      </c>
    </row>
    <row r="2" ht="14.25" customHeight="1"/>
    <row r="3" ht="19.5" customHeight="1">
      <c r="A3" s="17" t="s">
        <v>46</v>
      </c>
      <c r="B3" s="17" t="s">
        <v>47</v>
      </c>
    </row>
    <row r="4" ht="14.25" customHeight="1">
      <c r="A4" s="20">
        <v>0.0</v>
      </c>
      <c r="B4" s="28">
        <v>0.3</v>
      </c>
    </row>
    <row r="5" ht="14.25" customHeight="1">
      <c r="A5" s="20">
        <v>5000.0</v>
      </c>
      <c r="B5" s="28">
        <v>0.4</v>
      </c>
    </row>
    <row r="6" ht="14.25" customHeight="1">
      <c r="A6" s="20">
        <v>20000.0</v>
      </c>
      <c r="B6" s="28">
        <v>0.5</v>
      </c>
    </row>
    <row r="7" ht="14.25" customHeight="1">
      <c r="A7" s="20">
        <v>50000.0</v>
      </c>
      <c r="B7" s="28">
        <v>0.6</v>
      </c>
    </row>
    <row r="8" ht="39.75" customHeight="1">
      <c r="A8" s="29" t="s">
        <v>48</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B1"/>
    <mergeCell ref="A8:B8"/>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6" width="14.0"/>
    <col customWidth="1" min="7" max="7" width="12.0"/>
    <col customWidth="1" min="8" max="8" width="16.0"/>
    <col customWidth="1" min="9" max="9" width="15.14"/>
    <col customWidth="1" min="10" max="16" width="14.0"/>
    <col customWidth="1" min="17" max="17" width="7.86"/>
    <col customWidth="1" min="18" max="27" width="8.71"/>
  </cols>
  <sheetData>
    <row r="1" ht="14.25" customHeight="1">
      <c r="A1" s="5" t="s">
        <v>49</v>
      </c>
      <c r="B1" s="6"/>
      <c r="C1" s="6"/>
      <c r="D1" s="6"/>
      <c r="E1" s="6"/>
      <c r="F1" s="6"/>
      <c r="G1" s="6"/>
      <c r="H1" s="6"/>
      <c r="I1" s="6"/>
      <c r="J1" s="6"/>
      <c r="K1" s="6"/>
      <c r="L1" s="6"/>
      <c r="M1" s="6"/>
      <c r="N1" s="6"/>
      <c r="O1" s="6"/>
      <c r="P1" s="7"/>
    </row>
    <row r="2" ht="14.25" customHeight="1"/>
    <row r="3" ht="14.25" customHeight="1">
      <c r="A3" s="3" t="s">
        <v>50</v>
      </c>
      <c r="B3" s="30" t="str">
        <f>Inputs!$B$4</f>
        <v>Base</v>
      </c>
    </row>
    <row r="4" ht="14.25" customHeight="1">
      <c r="A4" s="3" t="s">
        <v>51</v>
      </c>
      <c r="B4" s="31">
        <f>MIN($P$8:$P$19)</f>
        <v>590800</v>
      </c>
    </row>
    <row r="5" ht="14.25" customHeight="1">
      <c r="A5" s="3" t="s">
        <v>52</v>
      </c>
      <c r="B5" s="31">
        <f>$P$19</f>
        <v>1977200</v>
      </c>
    </row>
    <row r="6" ht="14.25" customHeight="1"/>
    <row r="7" ht="33.75" customHeight="1">
      <c r="A7" s="32" t="s">
        <v>31</v>
      </c>
      <c r="B7" s="32" t="s">
        <v>53</v>
      </c>
      <c r="C7" s="32" t="s">
        <v>54</v>
      </c>
      <c r="D7" s="32" t="s">
        <v>33</v>
      </c>
      <c r="E7" s="32" t="s">
        <v>55</v>
      </c>
      <c r="F7" s="32" t="s">
        <v>56</v>
      </c>
      <c r="G7" s="32" t="s">
        <v>47</v>
      </c>
      <c r="H7" s="32" t="s">
        <v>57</v>
      </c>
      <c r="I7" s="33" t="s">
        <v>58</v>
      </c>
      <c r="J7" s="32" t="s">
        <v>59</v>
      </c>
      <c r="K7" s="32" t="s">
        <v>60</v>
      </c>
      <c r="L7" s="32" t="s">
        <v>61</v>
      </c>
      <c r="M7" s="32" t="s">
        <v>62</v>
      </c>
      <c r="N7" s="32" t="s">
        <v>63</v>
      </c>
      <c r="O7" s="32" t="s">
        <v>64</v>
      </c>
      <c r="P7" s="32" t="s">
        <v>65</v>
      </c>
      <c r="Q7" s="34" t="s">
        <v>66</v>
      </c>
    </row>
    <row r="8" ht="14.25" customHeight="1">
      <c r="A8" s="35">
        <v>46023.0</v>
      </c>
      <c r="B8" s="36">
        <f>Inputs!$B$6</f>
        <v>1000000</v>
      </c>
      <c r="C8" s="36">
        <f>VLOOKUP($A8,Inputs!$A$24:$B$35,2,FALSE)*IF(Inputs!$B$4="Stress",Inputs!$B$5,1)</f>
        <v>25000</v>
      </c>
      <c r="D8" s="36">
        <f>VLOOKUP($A8,Inputs!$A$24:$C$35,3,FALSE)</f>
        <v>85000</v>
      </c>
      <c r="E8" s="36">
        <f>C8*IF(Inputs!$B$4="Stress",Inputs!$B$12,Inputs!$B$11)</f>
        <v>3750</v>
      </c>
      <c r="F8" s="36">
        <f>C8*Inputs!$B$13</f>
        <v>25000</v>
      </c>
      <c r="G8" s="37">
        <f>VLOOKUP(F8,Tiers!$A$4:$B$7,2,TRUE)*IF(Inputs!$B$4="Stress",Inputs!$B$14,1)</f>
        <v>0.5</v>
      </c>
      <c r="H8" s="36">
        <f>MIN(C8*Inputs!$B$15,F8*G8)</f>
        <v>11250</v>
      </c>
      <c r="I8" s="38">
        <f t="shared" ref="I8:I19" si="1">H8/C8</f>
        <v>0.45</v>
      </c>
      <c r="J8" s="36">
        <f>VLOOKUP($A8,Inputs!$A$24:$D$35,4,FALSE)</f>
        <v>58000</v>
      </c>
      <c r="K8" s="36">
        <f>IF($Q8&gt;=Inputs!$B$17,Inputs!$B$16,0)</f>
        <v>0</v>
      </c>
      <c r="L8" s="36">
        <f>IF($Q8&gt;=Inputs!$B$19,Inputs!$B$18,0)</f>
        <v>16200</v>
      </c>
      <c r="M8" s="36">
        <f t="shared" ref="M8:M19" si="2">SUM(D8,E8,H8,J8,K8,L8)</f>
        <v>174200</v>
      </c>
      <c r="N8" s="36">
        <f t="shared" ref="N8:N19" si="3">C8-M8</f>
        <v>-149200</v>
      </c>
      <c r="O8" s="36">
        <f>IF($Q8=Inputs!$B$8,Inputs!$B$7,0)</f>
        <v>0</v>
      </c>
      <c r="P8" s="36">
        <f t="shared" ref="P8:P19" si="4">B8+N8+O8</f>
        <v>850800</v>
      </c>
      <c r="Q8" s="39">
        <v>1.0</v>
      </c>
    </row>
    <row r="9" ht="14.25" customHeight="1">
      <c r="A9" s="35">
        <v>46054.0</v>
      </c>
      <c r="B9" s="36">
        <f t="shared" ref="B9:B19" si="5">P8</f>
        <v>850800</v>
      </c>
      <c r="C9" s="36">
        <f>VLOOKUP($A9,Inputs!$A$24:$B$35,2,FALSE)*IF(Inputs!$B$4="Stress",Inputs!$B$5,1)</f>
        <v>30000</v>
      </c>
      <c r="D9" s="36">
        <f>VLOOKUP($A9,Inputs!$A$24:$C$35,3,FALSE)</f>
        <v>85000</v>
      </c>
      <c r="E9" s="36">
        <f>C9*IF(Inputs!$B$4="Stress",Inputs!$B$12,Inputs!$B$11)</f>
        <v>4500</v>
      </c>
      <c r="F9" s="36">
        <f>C9*Inputs!$B$13</f>
        <v>30000</v>
      </c>
      <c r="G9" s="37">
        <f>VLOOKUP(F9,Tiers!$A$4:$B$7,2,TRUE)*IF(Inputs!$B$4="Stress",Inputs!$B$14,1)</f>
        <v>0.5</v>
      </c>
      <c r="H9" s="36">
        <f>MIN(C9*Inputs!$B$15,F9*G9)</f>
        <v>13500</v>
      </c>
      <c r="I9" s="38">
        <f t="shared" si="1"/>
        <v>0.45</v>
      </c>
      <c r="J9" s="36">
        <f>VLOOKUP($A9,Inputs!$A$24:$D$35,4,FALSE)</f>
        <v>0</v>
      </c>
      <c r="K9" s="36">
        <f>IF($Q9&gt;=Inputs!$B$17,Inputs!$B$16,0)</f>
        <v>0</v>
      </c>
      <c r="L9" s="36">
        <f>IF($Q9&gt;=Inputs!$B$19,Inputs!$B$18,0)</f>
        <v>16200</v>
      </c>
      <c r="M9" s="36">
        <f t="shared" si="2"/>
        <v>119200</v>
      </c>
      <c r="N9" s="36">
        <f t="shared" si="3"/>
        <v>-89200</v>
      </c>
      <c r="O9" s="36">
        <f>IF($Q9=Inputs!$B$8,Inputs!$B$7,0)</f>
        <v>0</v>
      </c>
      <c r="P9" s="36">
        <f t="shared" si="4"/>
        <v>761600</v>
      </c>
      <c r="Q9" s="39">
        <v>2.0</v>
      </c>
    </row>
    <row r="10" ht="14.25" customHeight="1">
      <c r="A10" s="35">
        <v>46082.0</v>
      </c>
      <c r="B10" s="36">
        <f t="shared" si="5"/>
        <v>761600</v>
      </c>
      <c r="C10" s="36">
        <f>VLOOKUP($A10,Inputs!$A$24:$B$35,2,FALSE)*IF(Inputs!$B$4="Stress",Inputs!$B$5,1)</f>
        <v>36000</v>
      </c>
      <c r="D10" s="36">
        <f>VLOOKUP($A10,Inputs!$A$24:$C$35,3,FALSE)</f>
        <v>85000</v>
      </c>
      <c r="E10" s="36">
        <f>C10*IF(Inputs!$B$4="Stress",Inputs!$B$12,Inputs!$B$11)</f>
        <v>5400</v>
      </c>
      <c r="F10" s="36">
        <f>C10*Inputs!$B$13</f>
        <v>36000</v>
      </c>
      <c r="G10" s="37">
        <f>VLOOKUP(F10,Tiers!$A$4:$B$7,2,TRUE)*IF(Inputs!$B$4="Stress",Inputs!$B$14,1)</f>
        <v>0.5</v>
      </c>
      <c r="H10" s="36">
        <f>MIN(C10*Inputs!$B$15,F10*G10)</f>
        <v>16200</v>
      </c>
      <c r="I10" s="38">
        <f t="shared" si="1"/>
        <v>0.45</v>
      </c>
      <c r="J10" s="36">
        <f>VLOOKUP($A10,Inputs!$A$24:$D$35,4,FALSE)</f>
        <v>0</v>
      </c>
      <c r="K10" s="36">
        <f>IF($Q10&gt;=Inputs!$B$17,Inputs!$B$16,0)</f>
        <v>0</v>
      </c>
      <c r="L10" s="36">
        <f>IF($Q10&gt;=Inputs!$B$19,Inputs!$B$18,0)</f>
        <v>16200</v>
      </c>
      <c r="M10" s="36">
        <f t="shared" si="2"/>
        <v>122800</v>
      </c>
      <c r="N10" s="36">
        <f t="shared" si="3"/>
        <v>-86800</v>
      </c>
      <c r="O10" s="36">
        <f>IF($Q10=Inputs!$B$8,Inputs!$B$7,0)</f>
        <v>0</v>
      </c>
      <c r="P10" s="36">
        <f t="shared" si="4"/>
        <v>674800</v>
      </c>
      <c r="Q10" s="39">
        <v>3.0</v>
      </c>
    </row>
    <row r="11" ht="14.25" customHeight="1">
      <c r="A11" s="35">
        <v>46113.0</v>
      </c>
      <c r="B11" s="36">
        <f t="shared" si="5"/>
        <v>674800</v>
      </c>
      <c r="C11" s="36">
        <f>VLOOKUP($A11,Inputs!$A$24:$B$35,2,FALSE)*IF(Inputs!$B$4="Stress",Inputs!$B$5,1)</f>
        <v>43000</v>
      </c>
      <c r="D11" s="36">
        <f>VLOOKUP($A11,Inputs!$A$24:$C$35,3,FALSE)</f>
        <v>85000</v>
      </c>
      <c r="E11" s="36">
        <f>C11*IF(Inputs!$B$4="Stress",Inputs!$B$12,Inputs!$B$11)</f>
        <v>6450</v>
      </c>
      <c r="F11" s="36">
        <f>C11*Inputs!$B$13</f>
        <v>43000</v>
      </c>
      <c r="G11" s="37">
        <f>VLOOKUP(F11,Tiers!$A$4:$B$7,2,TRUE)*IF(Inputs!$B$4="Stress",Inputs!$B$14,1)</f>
        <v>0.5</v>
      </c>
      <c r="H11" s="36">
        <f>MIN(C11*Inputs!$B$15,F11*G11)</f>
        <v>19350</v>
      </c>
      <c r="I11" s="38">
        <f t="shared" si="1"/>
        <v>0.45</v>
      </c>
      <c r="J11" s="36">
        <f>VLOOKUP($A11,Inputs!$A$24:$D$35,4,FALSE)</f>
        <v>0</v>
      </c>
      <c r="K11" s="36">
        <f>IF($Q11&gt;=Inputs!$B$17,Inputs!$B$16,0)</f>
        <v>0</v>
      </c>
      <c r="L11" s="36">
        <f>IF($Q11&gt;=Inputs!$B$19,Inputs!$B$18,0)</f>
        <v>16200</v>
      </c>
      <c r="M11" s="36">
        <f t="shared" si="2"/>
        <v>127000</v>
      </c>
      <c r="N11" s="36">
        <f t="shared" si="3"/>
        <v>-84000</v>
      </c>
      <c r="O11" s="36">
        <f>IF($Q11=Inputs!$B$8,Inputs!$B$7,0)</f>
        <v>0</v>
      </c>
      <c r="P11" s="36">
        <f t="shared" si="4"/>
        <v>590800</v>
      </c>
      <c r="Q11" s="39">
        <v>4.0</v>
      </c>
    </row>
    <row r="12" ht="14.25" customHeight="1">
      <c r="A12" s="35">
        <v>46143.0</v>
      </c>
      <c r="B12" s="36">
        <f t="shared" si="5"/>
        <v>590800</v>
      </c>
      <c r="C12" s="36">
        <f>VLOOKUP($A12,Inputs!$A$24:$B$35,2,FALSE)*IF(Inputs!$B$4="Stress",Inputs!$B$5,1)</f>
        <v>52000</v>
      </c>
      <c r="D12" s="36">
        <f>VLOOKUP($A12,Inputs!$A$24:$C$35,3,FALSE)</f>
        <v>85000</v>
      </c>
      <c r="E12" s="36">
        <f>C12*IF(Inputs!$B$4="Stress",Inputs!$B$12,Inputs!$B$11)</f>
        <v>7800</v>
      </c>
      <c r="F12" s="36">
        <f>C12*Inputs!$B$13</f>
        <v>52000</v>
      </c>
      <c r="G12" s="37">
        <f>VLOOKUP(F12,Tiers!$A$4:$B$7,2,TRUE)*IF(Inputs!$B$4="Stress",Inputs!$B$14,1)</f>
        <v>0.6</v>
      </c>
      <c r="H12" s="36">
        <f>MIN(C12*Inputs!$B$15,F12*G12)</f>
        <v>23400</v>
      </c>
      <c r="I12" s="38">
        <f t="shared" si="1"/>
        <v>0.45</v>
      </c>
      <c r="J12" s="36">
        <f>VLOOKUP($A12,Inputs!$A$24:$D$35,4,FALSE)</f>
        <v>0</v>
      </c>
      <c r="K12" s="36">
        <f>IF($Q12&gt;=Inputs!$B$17,Inputs!$B$16,0)</f>
        <v>0</v>
      </c>
      <c r="L12" s="36">
        <f>IF($Q12&gt;=Inputs!$B$19,Inputs!$B$18,0)</f>
        <v>16200</v>
      </c>
      <c r="M12" s="36">
        <f t="shared" si="2"/>
        <v>132400</v>
      </c>
      <c r="N12" s="36">
        <f t="shared" si="3"/>
        <v>-80400</v>
      </c>
      <c r="O12" s="36">
        <f>IF($Q12=Inputs!$B$8,Inputs!$B$7,0)</f>
        <v>2000000</v>
      </c>
      <c r="P12" s="36">
        <f t="shared" si="4"/>
        <v>2510400</v>
      </c>
      <c r="Q12" s="39">
        <v>5.0</v>
      </c>
    </row>
    <row r="13" ht="14.25" customHeight="1">
      <c r="A13" s="35">
        <v>46174.0</v>
      </c>
      <c r="B13" s="36">
        <f t="shared" si="5"/>
        <v>2510400</v>
      </c>
      <c r="C13" s="36">
        <f>VLOOKUP($A13,Inputs!$A$24:$B$35,2,FALSE)*IF(Inputs!$B$4="Stress",Inputs!$B$5,1)</f>
        <v>62000</v>
      </c>
      <c r="D13" s="36">
        <f>VLOOKUP($A13,Inputs!$A$24:$C$35,3,FALSE)</f>
        <v>85000</v>
      </c>
      <c r="E13" s="36">
        <f>C13*IF(Inputs!$B$4="Stress",Inputs!$B$12,Inputs!$B$11)</f>
        <v>9300</v>
      </c>
      <c r="F13" s="36">
        <f>C13*Inputs!$B$13</f>
        <v>62000</v>
      </c>
      <c r="G13" s="37">
        <f>VLOOKUP(F13,Tiers!$A$4:$B$7,2,TRUE)*IF(Inputs!$B$4="Stress",Inputs!$B$14,1)</f>
        <v>0.6</v>
      </c>
      <c r="H13" s="36">
        <f>MIN(C13*Inputs!$B$15,F13*G13)</f>
        <v>27900</v>
      </c>
      <c r="I13" s="38">
        <f t="shared" si="1"/>
        <v>0.45</v>
      </c>
      <c r="J13" s="36">
        <f>VLOOKUP($A13,Inputs!$A$24:$D$35,4,FALSE)</f>
        <v>0</v>
      </c>
      <c r="K13" s="36">
        <f>IF($Q13&gt;=Inputs!$B$17,Inputs!$B$16,0)</f>
        <v>0</v>
      </c>
      <c r="L13" s="36">
        <f>IF($Q13&gt;=Inputs!$B$19,Inputs!$B$18,0)</f>
        <v>16200</v>
      </c>
      <c r="M13" s="36">
        <f t="shared" si="2"/>
        <v>138400</v>
      </c>
      <c r="N13" s="36">
        <f t="shared" si="3"/>
        <v>-76400</v>
      </c>
      <c r="O13" s="36">
        <f>IF($Q13=Inputs!$B$8,Inputs!$B$7,0)</f>
        <v>0</v>
      </c>
      <c r="P13" s="36">
        <f t="shared" si="4"/>
        <v>2434000</v>
      </c>
      <c r="Q13" s="39">
        <v>6.0</v>
      </c>
    </row>
    <row r="14" ht="14.25" customHeight="1">
      <c r="A14" s="35">
        <v>46204.0</v>
      </c>
      <c r="B14" s="36">
        <f t="shared" si="5"/>
        <v>2434000</v>
      </c>
      <c r="C14" s="36">
        <f>VLOOKUP($A14,Inputs!$A$24:$B$35,2,FALSE)*IF(Inputs!$B$4="Stress",Inputs!$B$5,1)</f>
        <v>75000</v>
      </c>
      <c r="D14" s="36">
        <f>VLOOKUP($A14,Inputs!$A$24:$C$35,3,FALSE)</f>
        <v>100000</v>
      </c>
      <c r="E14" s="36">
        <f>C14*IF(Inputs!$B$4="Stress",Inputs!$B$12,Inputs!$B$11)</f>
        <v>11250</v>
      </c>
      <c r="F14" s="36">
        <f>C14*Inputs!$B$13</f>
        <v>75000</v>
      </c>
      <c r="G14" s="37">
        <f>VLOOKUP(F14,Tiers!$A$4:$B$7,2,TRUE)*IF(Inputs!$B$4="Stress",Inputs!$B$14,1)</f>
        <v>0.6</v>
      </c>
      <c r="H14" s="36">
        <f>MIN(C14*Inputs!$B$15,F14*G14)</f>
        <v>33750</v>
      </c>
      <c r="I14" s="38">
        <f t="shared" si="1"/>
        <v>0.45</v>
      </c>
      <c r="J14" s="36">
        <f>VLOOKUP($A14,Inputs!$A$24:$D$35,4,FALSE)</f>
        <v>58000</v>
      </c>
      <c r="K14" s="36">
        <f>IF($Q14&gt;=Inputs!$B$17,Inputs!$B$16,0)</f>
        <v>0</v>
      </c>
      <c r="L14" s="36">
        <f>IF($Q14&gt;=Inputs!$B$19,Inputs!$B$18,0)</f>
        <v>16200</v>
      </c>
      <c r="M14" s="36">
        <f t="shared" si="2"/>
        <v>219200</v>
      </c>
      <c r="N14" s="36">
        <f t="shared" si="3"/>
        <v>-144200</v>
      </c>
      <c r="O14" s="36">
        <f>IF($Q14=Inputs!$B$8,Inputs!$B$7,0)</f>
        <v>0</v>
      </c>
      <c r="P14" s="36">
        <f t="shared" si="4"/>
        <v>2289800</v>
      </c>
      <c r="Q14" s="39">
        <v>7.0</v>
      </c>
    </row>
    <row r="15" ht="14.25" customHeight="1">
      <c r="A15" s="35">
        <v>46235.0</v>
      </c>
      <c r="B15" s="36">
        <f t="shared" si="5"/>
        <v>2289800</v>
      </c>
      <c r="C15" s="36">
        <f>VLOOKUP($A15,Inputs!$A$24:$B$35,2,FALSE)*IF(Inputs!$B$4="Stress",Inputs!$B$5,1)</f>
        <v>90000</v>
      </c>
      <c r="D15" s="36">
        <f>VLOOKUP($A15,Inputs!$A$24:$C$35,3,FALSE)</f>
        <v>100000</v>
      </c>
      <c r="E15" s="36">
        <f>C15*IF(Inputs!$B$4="Stress",Inputs!$B$12,Inputs!$B$11)</f>
        <v>13500</v>
      </c>
      <c r="F15" s="36">
        <f>C15*Inputs!$B$13</f>
        <v>90000</v>
      </c>
      <c r="G15" s="37">
        <f>VLOOKUP(F15,Tiers!$A$4:$B$7,2,TRUE)*IF(Inputs!$B$4="Stress",Inputs!$B$14,1)</f>
        <v>0.6</v>
      </c>
      <c r="H15" s="36">
        <f>MIN(C15*Inputs!$B$15,F15*G15)</f>
        <v>40500</v>
      </c>
      <c r="I15" s="38">
        <f t="shared" si="1"/>
        <v>0.45</v>
      </c>
      <c r="J15" s="36">
        <f>VLOOKUP($A15,Inputs!$A$24:$D$35,4,FALSE)</f>
        <v>0</v>
      </c>
      <c r="K15" s="36">
        <f>IF($Q15&gt;=Inputs!$B$17,Inputs!$B$16,0)</f>
        <v>0</v>
      </c>
      <c r="L15" s="36">
        <f>IF($Q15&gt;=Inputs!$B$19,Inputs!$B$18,0)</f>
        <v>16200</v>
      </c>
      <c r="M15" s="36">
        <f t="shared" si="2"/>
        <v>170200</v>
      </c>
      <c r="N15" s="36">
        <f t="shared" si="3"/>
        <v>-80200</v>
      </c>
      <c r="O15" s="36">
        <f>IF($Q15=Inputs!$B$8,Inputs!$B$7,0)</f>
        <v>0</v>
      </c>
      <c r="P15" s="36">
        <f t="shared" si="4"/>
        <v>2209600</v>
      </c>
      <c r="Q15" s="39">
        <v>8.0</v>
      </c>
    </row>
    <row r="16" ht="14.25" customHeight="1">
      <c r="A16" s="35">
        <v>46266.0</v>
      </c>
      <c r="B16" s="36">
        <f t="shared" si="5"/>
        <v>2209600</v>
      </c>
      <c r="C16" s="36">
        <f>VLOOKUP($A16,Inputs!$A$24:$B$35,2,FALSE)*IF(Inputs!$B$4="Stress",Inputs!$B$5,1)</f>
        <v>108000</v>
      </c>
      <c r="D16" s="36">
        <f>VLOOKUP($A16,Inputs!$A$24:$C$35,3,FALSE)</f>
        <v>100000</v>
      </c>
      <c r="E16" s="36">
        <f>C16*IF(Inputs!$B$4="Stress",Inputs!$B$12,Inputs!$B$11)</f>
        <v>16200</v>
      </c>
      <c r="F16" s="36">
        <f>C16*Inputs!$B$13</f>
        <v>108000</v>
      </c>
      <c r="G16" s="37">
        <f>VLOOKUP(F16,Tiers!$A$4:$B$7,2,TRUE)*IF(Inputs!$B$4="Stress",Inputs!$B$14,1)</f>
        <v>0.6</v>
      </c>
      <c r="H16" s="36">
        <f>MIN(C16*Inputs!$B$15,F16*G16)</f>
        <v>48600</v>
      </c>
      <c r="I16" s="38">
        <f t="shared" si="1"/>
        <v>0.45</v>
      </c>
      <c r="J16" s="36">
        <f>VLOOKUP($A16,Inputs!$A$24:$D$35,4,FALSE)</f>
        <v>0</v>
      </c>
      <c r="K16" s="36">
        <f>IF($Q16&gt;=Inputs!$B$17,Inputs!$B$16,0)</f>
        <v>0</v>
      </c>
      <c r="L16" s="36">
        <f>IF($Q16&gt;=Inputs!$B$19,Inputs!$B$18,0)</f>
        <v>16200</v>
      </c>
      <c r="M16" s="36">
        <f t="shared" si="2"/>
        <v>181000</v>
      </c>
      <c r="N16" s="36">
        <f t="shared" si="3"/>
        <v>-73000</v>
      </c>
      <c r="O16" s="36">
        <f>IF($Q16=Inputs!$B$8,Inputs!$B$7,0)</f>
        <v>0</v>
      </c>
      <c r="P16" s="36">
        <f t="shared" si="4"/>
        <v>2136600</v>
      </c>
      <c r="Q16" s="39">
        <v>9.0</v>
      </c>
    </row>
    <row r="17" ht="14.25" customHeight="1">
      <c r="A17" s="35">
        <v>46296.0</v>
      </c>
      <c r="B17" s="36">
        <f t="shared" si="5"/>
        <v>2136600</v>
      </c>
      <c r="C17" s="36">
        <f>VLOOKUP($A17,Inputs!$A$24:$B$35,2,FALSE)*IF(Inputs!$B$4="Stress",Inputs!$B$5,1)</f>
        <v>130000</v>
      </c>
      <c r="D17" s="36">
        <f>VLOOKUP($A17,Inputs!$A$24:$C$35,3,FALSE)</f>
        <v>100000</v>
      </c>
      <c r="E17" s="36">
        <f>C17*IF(Inputs!$B$4="Stress",Inputs!$B$12,Inputs!$B$11)</f>
        <v>19500</v>
      </c>
      <c r="F17" s="36">
        <f>C17*Inputs!$B$13</f>
        <v>130000</v>
      </c>
      <c r="G17" s="37">
        <f>VLOOKUP(F17,Tiers!$A$4:$B$7,2,TRUE)*IF(Inputs!$B$4="Stress",Inputs!$B$14,1)</f>
        <v>0.6</v>
      </c>
      <c r="H17" s="36">
        <f>MIN(C17*Inputs!$B$15,F17*G17)</f>
        <v>58500</v>
      </c>
      <c r="I17" s="38">
        <f t="shared" si="1"/>
        <v>0.45</v>
      </c>
      <c r="J17" s="36">
        <f>VLOOKUP($A17,Inputs!$A$24:$D$35,4,FALSE)</f>
        <v>0</v>
      </c>
      <c r="K17" s="36">
        <f>IF($Q17&gt;=Inputs!$B$17,Inputs!$B$16,0)</f>
        <v>0</v>
      </c>
      <c r="L17" s="36">
        <f>IF($Q17&gt;=Inputs!$B$19,Inputs!$B$18,0)</f>
        <v>16200</v>
      </c>
      <c r="M17" s="36">
        <f t="shared" si="2"/>
        <v>194200</v>
      </c>
      <c r="N17" s="36">
        <f t="shared" si="3"/>
        <v>-64200</v>
      </c>
      <c r="O17" s="36">
        <f>IF($Q17=Inputs!$B$8,Inputs!$B$7,0)</f>
        <v>0</v>
      </c>
      <c r="P17" s="36">
        <f t="shared" si="4"/>
        <v>2072400</v>
      </c>
      <c r="Q17" s="39">
        <v>10.0</v>
      </c>
    </row>
    <row r="18" ht="14.25" customHeight="1">
      <c r="A18" s="35">
        <v>46327.0</v>
      </c>
      <c r="B18" s="36">
        <f t="shared" si="5"/>
        <v>2072400</v>
      </c>
      <c r="C18" s="36">
        <f>VLOOKUP($A18,Inputs!$A$24:$B$35,2,FALSE)*IF(Inputs!$B$4="Stress",Inputs!$B$5,1)</f>
        <v>156000</v>
      </c>
      <c r="D18" s="36">
        <f>VLOOKUP($A18,Inputs!$A$24:$C$35,3,FALSE)</f>
        <v>100000</v>
      </c>
      <c r="E18" s="36">
        <f>C18*IF(Inputs!$B$4="Stress",Inputs!$B$12,Inputs!$B$11)</f>
        <v>23400</v>
      </c>
      <c r="F18" s="36">
        <f>C18*Inputs!$B$13</f>
        <v>156000</v>
      </c>
      <c r="G18" s="37">
        <f>VLOOKUP(F18,Tiers!$A$4:$B$7,2,TRUE)*IF(Inputs!$B$4="Stress",Inputs!$B$14,1)</f>
        <v>0.6</v>
      </c>
      <c r="H18" s="36">
        <f>MIN(C18*Inputs!$B$15,F18*G18)</f>
        <v>70200</v>
      </c>
      <c r="I18" s="38">
        <f t="shared" si="1"/>
        <v>0.45</v>
      </c>
      <c r="J18" s="36">
        <f>VLOOKUP($A18,Inputs!$A$24:$D$35,4,FALSE)</f>
        <v>0</v>
      </c>
      <c r="K18" s="36">
        <f>IF($Q18&gt;=Inputs!$B$17,Inputs!$B$16,0)</f>
        <v>0</v>
      </c>
      <c r="L18" s="36">
        <f>IF($Q18&gt;=Inputs!$B$19,Inputs!$B$18,0)</f>
        <v>16200</v>
      </c>
      <c r="M18" s="36">
        <f t="shared" si="2"/>
        <v>209800</v>
      </c>
      <c r="N18" s="36">
        <f t="shared" si="3"/>
        <v>-53800</v>
      </c>
      <c r="O18" s="36">
        <f>IF($Q18=Inputs!$B$8,Inputs!$B$7,0)</f>
        <v>0</v>
      </c>
      <c r="P18" s="36">
        <f t="shared" si="4"/>
        <v>2018600</v>
      </c>
      <c r="Q18" s="39">
        <v>11.0</v>
      </c>
    </row>
    <row r="19" ht="14.25" customHeight="1">
      <c r="A19" s="35">
        <v>46357.0</v>
      </c>
      <c r="B19" s="36">
        <f t="shared" si="5"/>
        <v>2018600</v>
      </c>
      <c r="C19" s="36">
        <f>VLOOKUP($A19,Inputs!$A$24:$B$35,2,FALSE)*IF(Inputs!$B$4="Stress",Inputs!$B$5,1)</f>
        <v>187000</v>
      </c>
      <c r="D19" s="36">
        <f>VLOOKUP($A19,Inputs!$A$24:$C$35,3,FALSE)</f>
        <v>100000</v>
      </c>
      <c r="E19" s="36">
        <f>C19*IF(Inputs!$B$4="Stress",Inputs!$B$12,Inputs!$B$11)</f>
        <v>28050</v>
      </c>
      <c r="F19" s="36">
        <f>C19*Inputs!$B$13</f>
        <v>187000</v>
      </c>
      <c r="G19" s="37">
        <f>VLOOKUP(F19,Tiers!$A$4:$B$7,2,TRUE)*IF(Inputs!$B$4="Stress",Inputs!$B$14,1)</f>
        <v>0.6</v>
      </c>
      <c r="H19" s="36">
        <f>MIN(C19*Inputs!$B$15,F19*G19)</f>
        <v>84150</v>
      </c>
      <c r="I19" s="38">
        <f t="shared" si="1"/>
        <v>0.45</v>
      </c>
      <c r="J19" s="36">
        <f>VLOOKUP($A19,Inputs!$A$24:$D$35,4,FALSE)</f>
        <v>0</v>
      </c>
      <c r="K19" s="36">
        <f>IF($Q19&gt;=Inputs!$B$17,Inputs!$B$16,0)</f>
        <v>0</v>
      </c>
      <c r="L19" s="36">
        <f>IF($Q19&gt;=Inputs!$B$19,Inputs!$B$18,0)</f>
        <v>16200</v>
      </c>
      <c r="M19" s="36">
        <f t="shared" si="2"/>
        <v>228400</v>
      </c>
      <c r="N19" s="36">
        <f t="shared" si="3"/>
        <v>-41400</v>
      </c>
      <c r="O19" s="36">
        <f>IF($Q19=Inputs!$B$8,Inputs!$B$7,0)</f>
        <v>0</v>
      </c>
      <c r="P19" s="36">
        <f t="shared" si="4"/>
        <v>1977200</v>
      </c>
      <c r="Q19" s="39">
        <v>12.0</v>
      </c>
    </row>
    <row r="20" ht="14.25" customHeight="1">
      <c r="A20" s="40" t="s">
        <v>67</v>
      </c>
      <c r="B20" s="41"/>
      <c r="C20" s="42">
        <f t="shared" ref="C20:E20" si="6">SUM(C8:C19)</f>
        <v>994000</v>
      </c>
      <c r="D20" s="42">
        <f t="shared" si="6"/>
        <v>1110000</v>
      </c>
      <c r="E20" s="42">
        <f t="shared" si="6"/>
        <v>149100</v>
      </c>
      <c r="F20" s="41"/>
      <c r="G20" s="43">
        <f>AVERAGE(G8:G19)</f>
        <v>0.5666666667</v>
      </c>
      <c r="H20" s="42">
        <f>SUM(H8:H19)</f>
        <v>447300</v>
      </c>
      <c r="I20" s="42"/>
      <c r="J20" s="42">
        <f t="shared" ref="J20:O20" si="7">SUM(J8:J19)</f>
        <v>116000</v>
      </c>
      <c r="K20" s="42">
        <f t="shared" si="7"/>
        <v>0</v>
      </c>
      <c r="L20" s="42">
        <f t="shared" si="7"/>
        <v>194400</v>
      </c>
      <c r="M20" s="42">
        <f t="shared" si="7"/>
        <v>2016800</v>
      </c>
      <c r="N20" s="42">
        <f t="shared" si="7"/>
        <v>-1022800</v>
      </c>
      <c r="O20" s="42">
        <f t="shared" si="7"/>
        <v>2000000</v>
      </c>
      <c r="P20" s="42">
        <f>P19</f>
        <v>1977200</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P1"/>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7.0"/>
    <col customWidth="1" min="2" max="7" width="16.0"/>
    <col customWidth="1" min="8" max="8" width="8.14"/>
    <col customWidth="1" min="9" max="26" width="8.71"/>
  </cols>
  <sheetData>
    <row r="1" ht="14.25" customHeight="1">
      <c r="A1" s="5" t="s">
        <v>68</v>
      </c>
      <c r="B1" s="6"/>
      <c r="C1" s="6"/>
      <c r="D1" s="6"/>
      <c r="E1" s="6"/>
      <c r="F1" s="6"/>
      <c r="G1" s="7"/>
    </row>
    <row r="2" ht="14.25" customHeight="1"/>
    <row r="3" ht="14.25" customHeight="1">
      <c r="A3" s="3" t="s">
        <v>69</v>
      </c>
      <c r="B3" s="44">
        <f>Inputs!$B$5</f>
        <v>0.75</v>
      </c>
    </row>
    <row r="4" ht="14.25" customHeight="1">
      <c r="A4" s="3" t="s">
        <v>70</v>
      </c>
    </row>
    <row r="5" ht="30.0" customHeight="1">
      <c r="A5" s="32" t="s">
        <v>31</v>
      </c>
      <c r="B5" s="32" t="s">
        <v>71</v>
      </c>
      <c r="C5" s="32" t="s">
        <v>72</v>
      </c>
      <c r="D5" s="32" t="s">
        <v>73</v>
      </c>
      <c r="E5" s="32" t="s">
        <v>74</v>
      </c>
      <c r="F5" s="32" t="s">
        <v>75</v>
      </c>
      <c r="G5" s="32" t="s">
        <v>76</v>
      </c>
      <c r="H5" s="34" t="s">
        <v>66</v>
      </c>
    </row>
    <row r="6" ht="14.25" customHeight="1">
      <c r="A6" s="35">
        <v>46023.0</v>
      </c>
      <c r="B6" s="36">
        <f>Inputs!$B$6+D6+(IF($H6=Inputs!$B$8,Inputs!$B$7,0))</f>
        <v>850800</v>
      </c>
      <c r="C6" s="36">
        <f>Inputs!$B$6+E6+(IF($H6=Inputs!$B$8,Inputs!$B$7,0))</f>
        <v>850925</v>
      </c>
      <c r="D6" s="36">
        <f>(VLOOKUP($A6,Inputs!$A$24:$B$35,2,FALSE))-(SUM(VLOOKUP($A6,Inputs!$A$24:$C$35,3,FALSE),(VLOOKUP($A6,Inputs!$A$24:$B$35,2,FALSE))*Inputs!$B$11,MIN((VLOOKUP($A6,Inputs!$A$24:$B$35,2,FALSE))*Inputs!$B$15,((VLOOKUP($A6,Inputs!$A$24:$B$35,2,FALSE))*Inputs!$B$13)*(VLOOKUP((VLOOKUP($A6,Inputs!$A$24:$B$35,2,FALSE))*Inputs!$B$13,Tiers!$A$4:$B$7,2,TRUE))),VLOOKUP($A6,Inputs!$A$24:$D$35,4,FALSE),IF($H6&gt;=Inputs!$B$17,Inputs!$B$16,0),IF($H6&gt;=Inputs!$B$19,Inputs!$B$18,0)))</f>
        <v>-149200</v>
      </c>
      <c r="E6" s="36">
        <f>((VLOOKUP($A6,Inputs!$A$24:$B$35,2,FALSE))*Inputs!$B$5)-(SUM(VLOOKUP($A6,Inputs!$A$24:$C$35,3,FALSE),((VLOOKUP($A6,Inputs!$A$24:$B$35,2,FALSE))*Inputs!$B$5)*Inputs!$B$12,MIN(((VLOOKUP($A6,Inputs!$A$24:$B$35,2,FALSE))*Inputs!$B$5)*Inputs!$B$15,(((VLOOKUP($A6,Inputs!$A$24:$B$35,2,FALSE))*Inputs!$B$5)*Inputs!$B$13)*(VLOOKUP(((VLOOKUP($A6,Inputs!$A$24:$B$35,2,FALSE))*Inputs!$B$5)*Inputs!$B$13,Tiers!$A$4:$B$7,2,TRUE)*Inputs!$B$14)),VLOOKUP($A6,Inputs!$A$24:$D$35,4,FALSE),IF($H6&gt;=Inputs!$B$17,Inputs!$B$16,0),IF($H6&gt;=Inputs!$B$19,Inputs!$B$18,0)))</f>
        <v>-149075</v>
      </c>
      <c r="F6" s="45">
        <f t="shared" ref="F6:G6" si="1">MIN(B6:B17)</f>
        <v>590800</v>
      </c>
      <c r="G6" s="45">
        <f t="shared" si="1"/>
        <v>584112.5</v>
      </c>
      <c r="H6" s="39">
        <v>1.0</v>
      </c>
    </row>
    <row r="7" ht="14.25" customHeight="1">
      <c r="A7" s="35">
        <v>46054.0</v>
      </c>
      <c r="B7" s="36">
        <f>B6+D7+(IF($H7=Inputs!$B$8,Inputs!$B$7,0))</f>
        <v>761600</v>
      </c>
      <c r="C7" s="36">
        <f>C6+E7+(IF($H7=Inputs!$B$8,Inputs!$B$7,0))</f>
        <v>759850</v>
      </c>
      <c r="D7" s="36">
        <f>(VLOOKUP($A7,Inputs!$A$24:$B$35,2,FALSE))-(SUM(VLOOKUP($A7,Inputs!$A$24:$C$35,3,FALSE),(VLOOKUP($A7,Inputs!$A$24:$B$35,2,FALSE))*Inputs!$B$11,MIN((VLOOKUP($A7,Inputs!$A$24:$B$35,2,FALSE))*Inputs!$B$15,((VLOOKUP($A7,Inputs!$A$24:$B$35,2,FALSE))*Inputs!$B$13)*(VLOOKUP((VLOOKUP($A7,Inputs!$A$24:$B$35,2,FALSE))*Inputs!$B$13,Tiers!$A$4:$B$7,2,TRUE))),VLOOKUP($A7,Inputs!$A$24:$D$35,4,FALSE),IF($H7&gt;=Inputs!$B$17,Inputs!$B$16,0),IF($H7&gt;=Inputs!$B$19,Inputs!$B$18,0)))</f>
        <v>-89200</v>
      </c>
      <c r="E7" s="36">
        <f>((VLOOKUP($A7,Inputs!$A$24:$B$35,2,FALSE))*Inputs!$B$5)-(SUM(VLOOKUP($A7,Inputs!$A$24:$C$35,3,FALSE),((VLOOKUP($A7,Inputs!$A$24:$B$35,2,FALSE))*Inputs!$B$5)*Inputs!$B$12,MIN(((VLOOKUP($A7,Inputs!$A$24:$B$35,2,FALSE))*Inputs!$B$5)*Inputs!$B$15,(((VLOOKUP($A7,Inputs!$A$24:$B$35,2,FALSE))*Inputs!$B$5)*Inputs!$B$13)*(VLOOKUP(((VLOOKUP($A7,Inputs!$A$24:$B$35,2,FALSE))*Inputs!$B$5)*Inputs!$B$13,Tiers!$A$4:$B$7,2,TRUE)*Inputs!$B$14)),VLOOKUP($A7,Inputs!$A$24:$D$35,4,FALSE),IF($H7&gt;=Inputs!$B$17,Inputs!$B$16,0),IF($H7&gt;=Inputs!$B$19,Inputs!$B$18,0)))</f>
        <v>-91075</v>
      </c>
      <c r="F7" s="46"/>
      <c r="G7" s="46"/>
      <c r="H7" s="39">
        <v>2.0</v>
      </c>
    </row>
    <row r="8" ht="14.25" customHeight="1">
      <c r="A8" s="35">
        <v>46082.0</v>
      </c>
      <c r="B8" s="36">
        <f>B7+D8+(IF($H8=Inputs!$B$8,Inputs!$B$7,0))</f>
        <v>674800</v>
      </c>
      <c r="C8" s="36">
        <f>C7+E8+(IF($H8=Inputs!$B$8,Inputs!$B$7,0))</f>
        <v>670800</v>
      </c>
      <c r="D8" s="36">
        <f>(VLOOKUP($A8,Inputs!$A$24:$B$35,2,FALSE))-(SUM(VLOOKUP($A8,Inputs!$A$24:$C$35,3,FALSE),(VLOOKUP($A8,Inputs!$A$24:$B$35,2,FALSE))*Inputs!$B$11,MIN((VLOOKUP($A8,Inputs!$A$24:$B$35,2,FALSE))*Inputs!$B$15,((VLOOKUP($A8,Inputs!$A$24:$B$35,2,FALSE))*Inputs!$B$13)*(VLOOKUP((VLOOKUP($A8,Inputs!$A$24:$B$35,2,FALSE))*Inputs!$B$13,Tiers!$A$4:$B$7,2,TRUE))),VLOOKUP($A8,Inputs!$A$24:$D$35,4,FALSE),IF($H8&gt;=Inputs!$B$17,Inputs!$B$16,0),IF($H8&gt;=Inputs!$B$19,Inputs!$B$18,0)))</f>
        <v>-86800</v>
      </c>
      <c r="E8" s="36">
        <f>((VLOOKUP($A8,Inputs!$A$24:$B$35,2,FALSE))*Inputs!$B$5)-(SUM(VLOOKUP($A8,Inputs!$A$24:$C$35,3,FALSE),((VLOOKUP($A8,Inputs!$A$24:$B$35,2,FALSE))*Inputs!$B$5)*Inputs!$B$12,MIN(((VLOOKUP($A8,Inputs!$A$24:$B$35,2,FALSE))*Inputs!$B$5)*Inputs!$B$15,(((VLOOKUP($A8,Inputs!$A$24:$B$35,2,FALSE))*Inputs!$B$5)*Inputs!$B$13)*(VLOOKUP(((VLOOKUP($A8,Inputs!$A$24:$B$35,2,FALSE))*Inputs!$B$5)*Inputs!$B$13,Tiers!$A$4:$B$7,2,TRUE)*Inputs!$B$14)),VLOOKUP($A8,Inputs!$A$24:$D$35,4,FALSE),IF($H8&gt;=Inputs!$B$17,Inputs!$B$16,0),IF($H8&gt;=Inputs!$B$19,Inputs!$B$18,0)))</f>
        <v>-89050</v>
      </c>
      <c r="F8" s="46"/>
      <c r="G8" s="46"/>
      <c r="H8" s="39">
        <v>3.0</v>
      </c>
    </row>
    <row r="9" ht="14.25" customHeight="1">
      <c r="A9" s="35">
        <v>46113.0</v>
      </c>
      <c r="B9" s="36">
        <f>B8+D9+(IF($H9=Inputs!$B$8,Inputs!$B$7,0))</f>
        <v>590800</v>
      </c>
      <c r="C9" s="36">
        <f>C8+E9+(IF($H9=Inputs!$B$8,Inputs!$B$7,0))</f>
        <v>584112.5</v>
      </c>
      <c r="D9" s="36">
        <f>(VLOOKUP($A9,Inputs!$A$24:$B$35,2,FALSE))-(SUM(VLOOKUP($A9,Inputs!$A$24:$C$35,3,FALSE),(VLOOKUP($A9,Inputs!$A$24:$B$35,2,FALSE))*Inputs!$B$11,MIN((VLOOKUP($A9,Inputs!$A$24:$B$35,2,FALSE))*Inputs!$B$15,((VLOOKUP($A9,Inputs!$A$24:$B$35,2,FALSE))*Inputs!$B$13)*(VLOOKUP((VLOOKUP($A9,Inputs!$A$24:$B$35,2,FALSE))*Inputs!$B$13,Tiers!$A$4:$B$7,2,TRUE))),VLOOKUP($A9,Inputs!$A$24:$D$35,4,FALSE),IF($H9&gt;=Inputs!$B$17,Inputs!$B$16,0),IF($H9&gt;=Inputs!$B$19,Inputs!$B$18,0)))</f>
        <v>-84000</v>
      </c>
      <c r="E9" s="36">
        <f>((VLOOKUP($A9,Inputs!$A$24:$B$35,2,FALSE))*Inputs!$B$5)-(SUM(VLOOKUP($A9,Inputs!$A$24:$C$35,3,FALSE),((VLOOKUP($A9,Inputs!$A$24:$B$35,2,FALSE))*Inputs!$B$5)*Inputs!$B$12,MIN(((VLOOKUP($A9,Inputs!$A$24:$B$35,2,FALSE))*Inputs!$B$5)*Inputs!$B$15,(((VLOOKUP($A9,Inputs!$A$24:$B$35,2,FALSE))*Inputs!$B$5)*Inputs!$B$13)*(VLOOKUP(((VLOOKUP($A9,Inputs!$A$24:$B$35,2,FALSE))*Inputs!$B$5)*Inputs!$B$13,Tiers!$A$4:$B$7,2,TRUE)*Inputs!$B$14)),VLOOKUP($A9,Inputs!$A$24:$D$35,4,FALSE),IF($H9&gt;=Inputs!$B$17,Inputs!$B$16,0),IF($H9&gt;=Inputs!$B$19,Inputs!$B$18,0)))</f>
        <v>-86687.5</v>
      </c>
      <c r="F9" s="46"/>
      <c r="G9" s="46"/>
      <c r="H9" s="39">
        <v>4.0</v>
      </c>
    </row>
    <row r="10" ht="14.25" customHeight="1">
      <c r="A10" s="35">
        <v>46143.0</v>
      </c>
      <c r="B10" s="36">
        <f>B9+D10+(IF($H10=Inputs!$B$8,Inputs!$B$7,0))</f>
        <v>2510400</v>
      </c>
      <c r="C10" s="36">
        <f>C9+E10+(IF($H10=Inputs!$B$8,Inputs!$B$7,0))</f>
        <v>2500462.5</v>
      </c>
      <c r="D10" s="36">
        <f>(VLOOKUP($A10,Inputs!$A$24:$B$35,2,FALSE))-(SUM(VLOOKUP($A10,Inputs!$A$24:$C$35,3,FALSE),(VLOOKUP($A10,Inputs!$A$24:$B$35,2,FALSE))*Inputs!$B$11,MIN((VLOOKUP($A10,Inputs!$A$24:$B$35,2,FALSE))*Inputs!$B$15,((VLOOKUP($A10,Inputs!$A$24:$B$35,2,FALSE))*Inputs!$B$13)*(VLOOKUP((VLOOKUP($A10,Inputs!$A$24:$B$35,2,FALSE))*Inputs!$B$13,Tiers!$A$4:$B$7,2,TRUE))),VLOOKUP($A10,Inputs!$A$24:$D$35,4,FALSE),IF($H10&gt;=Inputs!$B$17,Inputs!$B$16,0),IF($H10&gt;=Inputs!$B$19,Inputs!$B$18,0)))</f>
        <v>-80400</v>
      </c>
      <c r="E10" s="36">
        <f>((VLOOKUP($A10,Inputs!$A$24:$B$35,2,FALSE))*Inputs!$B$5)-(SUM(VLOOKUP($A10,Inputs!$A$24:$C$35,3,FALSE),((VLOOKUP($A10,Inputs!$A$24:$B$35,2,FALSE))*Inputs!$B$5)*Inputs!$B$12,MIN(((VLOOKUP($A10,Inputs!$A$24:$B$35,2,FALSE))*Inputs!$B$5)*Inputs!$B$15,(((VLOOKUP($A10,Inputs!$A$24:$B$35,2,FALSE))*Inputs!$B$5)*Inputs!$B$13)*(VLOOKUP(((VLOOKUP($A10,Inputs!$A$24:$B$35,2,FALSE))*Inputs!$B$5)*Inputs!$B$13,Tiers!$A$4:$B$7,2,TRUE)*Inputs!$B$14)),VLOOKUP($A10,Inputs!$A$24:$D$35,4,FALSE),IF($H10&gt;=Inputs!$B$17,Inputs!$B$16,0),IF($H10&gt;=Inputs!$B$19,Inputs!$B$18,0)))</f>
        <v>-83650</v>
      </c>
      <c r="F10" s="46"/>
      <c r="G10" s="46"/>
      <c r="H10" s="39">
        <v>5.0</v>
      </c>
    </row>
    <row r="11" ht="14.25" customHeight="1">
      <c r="A11" s="35">
        <v>46174.0</v>
      </c>
      <c r="B11" s="36">
        <f>B10+D11+(IF($H11=Inputs!$B$8,Inputs!$B$7,0))</f>
        <v>2434000</v>
      </c>
      <c r="C11" s="36">
        <f>C10+E11+(IF($H11=Inputs!$B$8,Inputs!$B$7,0))</f>
        <v>2420187.5</v>
      </c>
      <c r="D11" s="36">
        <f>(VLOOKUP($A11,Inputs!$A$24:$B$35,2,FALSE))-(SUM(VLOOKUP($A11,Inputs!$A$24:$C$35,3,FALSE),(VLOOKUP($A11,Inputs!$A$24:$B$35,2,FALSE))*Inputs!$B$11,MIN((VLOOKUP($A11,Inputs!$A$24:$B$35,2,FALSE))*Inputs!$B$15,((VLOOKUP($A11,Inputs!$A$24:$B$35,2,FALSE))*Inputs!$B$13)*(VLOOKUP((VLOOKUP($A11,Inputs!$A$24:$B$35,2,FALSE))*Inputs!$B$13,Tiers!$A$4:$B$7,2,TRUE))),VLOOKUP($A11,Inputs!$A$24:$D$35,4,FALSE),IF($H11&gt;=Inputs!$B$17,Inputs!$B$16,0),IF($H11&gt;=Inputs!$B$19,Inputs!$B$18,0)))</f>
        <v>-76400</v>
      </c>
      <c r="E11" s="36">
        <f>((VLOOKUP($A11,Inputs!$A$24:$B$35,2,FALSE))*Inputs!$B$5)-(SUM(VLOOKUP($A11,Inputs!$A$24:$C$35,3,FALSE),((VLOOKUP($A11,Inputs!$A$24:$B$35,2,FALSE))*Inputs!$B$5)*Inputs!$B$12,MIN(((VLOOKUP($A11,Inputs!$A$24:$B$35,2,FALSE))*Inputs!$B$5)*Inputs!$B$15,(((VLOOKUP($A11,Inputs!$A$24:$B$35,2,FALSE))*Inputs!$B$5)*Inputs!$B$13)*(VLOOKUP(((VLOOKUP($A11,Inputs!$A$24:$B$35,2,FALSE))*Inputs!$B$5)*Inputs!$B$13,Tiers!$A$4:$B$7,2,TRUE)*Inputs!$B$14)),VLOOKUP($A11,Inputs!$A$24:$D$35,4,FALSE),IF($H11&gt;=Inputs!$B$17,Inputs!$B$16,0),IF($H11&gt;=Inputs!$B$19,Inputs!$B$18,0)))</f>
        <v>-80275</v>
      </c>
      <c r="F11" s="46"/>
      <c r="G11" s="46"/>
      <c r="H11" s="39">
        <v>6.0</v>
      </c>
    </row>
    <row r="12" ht="14.25" customHeight="1">
      <c r="A12" s="35">
        <v>46204.0</v>
      </c>
      <c r="B12" s="36">
        <f>B11+D12+(IF($H12=Inputs!$B$8,Inputs!$B$7,0))</f>
        <v>2289800</v>
      </c>
      <c r="C12" s="36">
        <f>C11+E12+(IF($H12=Inputs!$B$8,Inputs!$B$7,0))</f>
        <v>2271300</v>
      </c>
      <c r="D12" s="36">
        <f>(VLOOKUP($A12,Inputs!$A$24:$B$35,2,FALSE))-(SUM(VLOOKUP($A12,Inputs!$A$24:$C$35,3,FALSE),(VLOOKUP($A12,Inputs!$A$24:$B$35,2,FALSE))*Inputs!$B$11,MIN((VLOOKUP($A12,Inputs!$A$24:$B$35,2,FALSE))*Inputs!$B$15,((VLOOKUP($A12,Inputs!$A$24:$B$35,2,FALSE))*Inputs!$B$13)*(VLOOKUP((VLOOKUP($A12,Inputs!$A$24:$B$35,2,FALSE))*Inputs!$B$13,Tiers!$A$4:$B$7,2,TRUE))),VLOOKUP($A12,Inputs!$A$24:$D$35,4,FALSE),IF($H12&gt;=Inputs!$B$17,Inputs!$B$16,0),IF($H12&gt;=Inputs!$B$19,Inputs!$B$18,0)))</f>
        <v>-144200</v>
      </c>
      <c r="E12" s="36">
        <f>((VLOOKUP($A12,Inputs!$A$24:$B$35,2,FALSE))*Inputs!$B$5)-(SUM(VLOOKUP($A12,Inputs!$A$24:$C$35,3,FALSE),((VLOOKUP($A12,Inputs!$A$24:$B$35,2,FALSE))*Inputs!$B$5)*Inputs!$B$12,MIN(((VLOOKUP($A12,Inputs!$A$24:$B$35,2,FALSE))*Inputs!$B$5)*Inputs!$B$15,(((VLOOKUP($A12,Inputs!$A$24:$B$35,2,FALSE))*Inputs!$B$5)*Inputs!$B$13)*(VLOOKUP(((VLOOKUP($A12,Inputs!$A$24:$B$35,2,FALSE))*Inputs!$B$5)*Inputs!$B$13,Tiers!$A$4:$B$7,2,TRUE)*Inputs!$B$14)),VLOOKUP($A12,Inputs!$A$24:$D$35,4,FALSE),IF($H12&gt;=Inputs!$B$17,Inputs!$B$16,0),IF($H12&gt;=Inputs!$B$19,Inputs!$B$18,0)))</f>
        <v>-148887.5</v>
      </c>
      <c r="F12" s="46"/>
      <c r="G12" s="46"/>
      <c r="H12" s="39">
        <v>7.0</v>
      </c>
    </row>
    <row r="13" ht="14.25" customHeight="1">
      <c r="A13" s="35">
        <v>46235.0</v>
      </c>
      <c r="B13" s="36">
        <f>B12+D13+(IF($H13=Inputs!$B$8,Inputs!$B$7,0))</f>
        <v>2209600</v>
      </c>
      <c r="C13" s="36">
        <f>C12+E13+(IF($H13=Inputs!$B$8,Inputs!$B$7,0))</f>
        <v>2185475</v>
      </c>
      <c r="D13" s="36">
        <f>(VLOOKUP($A13,Inputs!$A$24:$B$35,2,FALSE))-(SUM(VLOOKUP($A13,Inputs!$A$24:$C$35,3,FALSE),(VLOOKUP($A13,Inputs!$A$24:$B$35,2,FALSE))*Inputs!$B$11,MIN((VLOOKUP($A13,Inputs!$A$24:$B$35,2,FALSE))*Inputs!$B$15,((VLOOKUP($A13,Inputs!$A$24:$B$35,2,FALSE))*Inputs!$B$13)*(VLOOKUP((VLOOKUP($A13,Inputs!$A$24:$B$35,2,FALSE))*Inputs!$B$13,Tiers!$A$4:$B$7,2,TRUE))),VLOOKUP($A13,Inputs!$A$24:$D$35,4,FALSE),IF($H13&gt;=Inputs!$B$17,Inputs!$B$16,0),IF($H13&gt;=Inputs!$B$19,Inputs!$B$18,0)))</f>
        <v>-80200</v>
      </c>
      <c r="E13" s="36">
        <f>((VLOOKUP($A13,Inputs!$A$24:$B$35,2,FALSE))*Inputs!$B$5)-(SUM(VLOOKUP($A13,Inputs!$A$24:$C$35,3,FALSE),((VLOOKUP($A13,Inputs!$A$24:$B$35,2,FALSE))*Inputs!$B$5)*Inputs!$B$12,MIN(((VLOOKUP($A13,Inputs!$A$24:$B$35,2,FALSE))*Inputs!$B$5)*Inputs!$B$15,(((VLOOKUP($A13,Inputs!$A$24:$B$35,2,FALSE))*Inputs!$B$5)*Inputs!$B$13)*(VLOOKUP(((VLOOKUP($A13,Inputs!$A$24:$B$35,2,FALSE))*Inputs!$B$5)*Inputs!$B$13,Tiers!$A$4:$B$7,2,TRUE)*Inputs!$B$14)),VLOOKUP($A13,Inputs!$A$24:$D$35,4,FALSE),IF($H13&gt;=Inputs!$B$17,Inputs!$B$16,0),IF($H13&gt;=Inputs!$B$19,Inputs!$B$18,0)))</f>
        <v>-85825</v>
      </c>
      <c r="F13" s="46"/>
      <c r="G13" s="46"/>
      <c r="H13" s="39">
        <v>8.0</v>
      </c>
    </row>
    <row r="14" ht="14.25" customHeight="1">
      <c r="A14" s="35">
        <v>46266.0</v>
      </c>
      <c r="B14" s="36">
        <f>B13+D14+(IF($H14=Inputs!$B$8,Inputs!$B$7,0))</f>
        <v>2136600</v>
      </c>
      <c r="C14" s="36">
        <f>C13+E14+(IF($H14=Inputs!$B$8,Inputs!$B$7,0))</f>
        <v>2105725</v>
      </c>
      <c r="D14" s="36">
        <f>(VLOOKUP($A14,Inputs!$A$24:$B$35,2,FALSE))-(SUM(VLOOKUP($A14,Inputs!$A$24:$C$35,3,FALSE),(VLOOKUP($A14,Inputs!$A$24:$B$35,2,FALSE))*Inputs!$B$11,MIN((VLOOKUP($A14,Inputs!$A$24:$B$35,2,FALSE))*Inputs!$B$15,((VLOOKUP($A14,Inputs!$A$24:$B$35,2,FALSE))*Inputs!$B$13)*(VLOOKUP((VLOOKUP($A14,Inputs!$A$24:$B$35,2,FALSE))*Inputs!$B$13,Tiers!$A$4:$B$7,2,TRUE))),VLOOKUP($A14,Inputs!$A$24:$D$35,4,FALSE),IF($H14&gt;=Inputs!$B$17,Inputs!$B$16,0),IF($H14&gt;=Inputs!$B$19,Inputs!$B$18,0)))</f>
        <v>-73000</v>
      </c>
      <c r="E14" s="36">
        <f>((VLOOKUP($A14,Inputs!$A$24:$B$35,2,FALSE))*Inputs!$B$5)-(SUM(VLOOKUP($A14,Inputs!$A$24:$C$35,3,FALSE),((VLOOKUP($A14,Inputs!$A$24:$B$35,2,FALSE))*Inputs!$B$5)*Inputs!$B$12,MIN(((VLOOKUP($A14,Inputs!$A$24:$B$35,2,FALSE))*Inputs!$B$5)*Inputs!$B$15,(((VLOOKUP($A14,Inputs!$A$24:$B$35,2,FALSE))*Inputs!$B$5)*Inputs!$B$13)*(VLOOKUP(((VLOOKUP($A14,Inputs!$A$24:$B$35,2,FALSE))*Inputs!$B$5)*Inputs!$B$13,Tiers!$A$4:$B$7,2,TRUE)*Inputs!$B$14)),VLOOKUP($A14,Inputs!$A$24:$D$35,4,FALSE),IF($H14&gt;=Inputs!$B$17,Inputs!$B$16,0),IF($H14&gt;=Inputs!$B$19,Inputs!$B$18,0)))</f>
        <v>-79750</v>
      </c>
      <c r="F14" s="46"/>
      <c r="G14" s="46"/>
      <c r="H14" s="39">
        <v>9.0</v>
      </c>
    </row>
    <row r="15" ht="14.25" customHeight="1">
      <c r="A15" s="35">
        <v>46296.0</v>
      </c>
      <c r="B15" s="36">
        <f>B14+D15+(IF($H15=Inputs!$B$8,Inputs!$B$7,0))</f>
        <v>2072400</v>
      </c>
      <c r="C15" s="36">
        <f>C14+E15+(IF($H15=Inputs!$B$8,Inputs!$B$7,0))</f>
        <v>2033400</v>
      </c>
      <c r="D15" s="36">
        <f>(VLOOKUP($A15,Inputs!$A$24:$B$35,2,FALSE))-(SUM(VLOOKUP($A15,Inputs!$A$24:$C$35,3,FALSE),(VLOOKUP($A15,Inputs!$A$24:$B$35,2,FALSE))*Inputs!$B$11,MIN((VLOOKUP($A15,Inputs!$A$24:$B$35,2,FALSE))*Inputs!$B$15,((VLOOKUP($A15,Inputs!$A$24:$B$35,2,FALSE))*Inputs!$B$13)*(VLOOKUP((VLOOKUP($A15,Inputs!$A$24:$B$35,2,FALSE))*Inputs!$B$13,Tiers!$A$4:$B$7,2,TRUE))),VLOOKUP($A15,Inputs!$A$24:$D$35,4,FALSE),IF($H15&gt;=Inputs!$B$17,Inputs!$B$16,0),IF($H15&gt;=Inputs!$B$19,Inputs!$B$18,0)))</f>
        <v>-64200</v>
      </c>
      <c r="E15" s="36">
        <f>((VLOOKUP($A15,Inputs!$A$24:$B$35,2,FALSE))*Inputs!$B$5)-(SUM(VLOOKUP($A15,Inputs!$A$24:$C$35,3,FALSE),((VLOOKUP($A15,Inputs!$A$24:$B$35,2,FALSE))*Inputs!$B$5)*Inputs!$B$12,MIN(((VLOOKUP($A15,Inputs!$A$24:$B$35,2,FALSE))*Inputs!$B$5)*Inputs!$B$15,(((VLOOKUP($A15,Inputs!$A$24:$B$35,2,FALSE))*Inputs!$B$5)*Inputs!$B$13)*(VLOOKUP(((VLOOKUP($A15,Inputs!$A$24:$B$35,2,FALSE))*Inputs!$B$5)*Inputs!$B$13,Tiers!$A$4:$B$7,2,TRUE)*Inputs!$B$14)),VLOOKUP($A15,Inputs!$A$24:$D$35,4,FALSE),IF($H15&gt;=Inputs!$B$17,Inputs!$B$16,0),IF($H15&gt;=Inputs!$B$19,Inputs!$B$18,0)))</f>
        <v>-72325</v>
      </c>
      <c r="F15" s="46"/>
      <c r="G15" s="46"/>
      <c r="H15" s="39">
        <v>10.0</v>
      </c>
    </row>
    <row r="16" ht="14.25" customHeight="1">
      <c r="A16" s="35">
        <v>46327.0</v>
      </c>
      <c r="B16" s="36">
        <f>B15+D16+(IF($H16=Inputs!$B$8,Inputs!$B$7,0))</f>
        <v>2018600</v>
      </c>
      <c r="C16" s="36">
        <f>C15+E16+(IF($H16=Inputs!$B$8,Inputs!$B$7,0))</f>
        <v>1969850</v>
      </c>
      <c r="D16" s="36">
        <f>(VLOOKUP($A16,Inputs!$A$24:$B$35,2,FALSE))-(SUM(VLOOKUP($A16,Inputs!$A$24:$C$35,3,FALSE),(VLOOKUP($A16,Inputs!$A$24:$B$35,2,FALSE))*Inputs!$B$11,MIN((VLOOKUP($A16,Inputs!$A$24:$B$35,2,FALSE))*Inputs!$B$15,((VLOOKUP($A16,Inputs!$A$24:$B$35,2,FALSE))*Inputs!$B$13)*(VLOOKUP((VLOOKUP($A16,Inputs!$A$24:$B$35,2,FALSE))*Inputs!$B$13,Tiers!$A$4:$B$7,2,TRUE))),VLOOKUP($A16,Inputs!$A$24:$D$35,4,FALSE),IF($H16&gt;=Inputs!$B$17,Inputs!$B$16,0),IF($H16&gt;=Inputs!$B$19,Inputs!$B$18,0)))</f>
        <v>-53800</v>
      </c>
      <c r="E16" s="36">
        <f>((VLOOKUP($A16,Inputs!$A$24:$B$35,2,FALSE))*Inputs!$B$5)-(SUM(VLOOKUP($A16,Inputs!$A$24:$C$35,3,FALSE),((VLOOKUP($A16,Inputs!$A$24:$B$35,2,FALSE))*Inputs!$B$5)*Inputs!$B$12,MIN(((VLOOKUP($A16,Inputs!$A$24:$B$35,2,FALSE))*Inputs!$B$5)*Inputs!$B$15,(((VLOOKUP($A16,Inputs!$A$24:$B$35,2,FALSE))*Inputs!$B$5)*Inputs!$B$13)*(VLOOKUP(((VLOOKUP($A16,Inputs!$A$24:$B$35,2,FALSE))*Inputs!$B$5)*Inputs!$B$13,Tiers!$A$4:$B$7,2,TRUE)*Inputs!$B$14)),VLOOKUP($A16,Inputs!$A$24:$D$35,4,FALSE),IF($H16&gt;=Inputs!$B$17,Inputs!$B$16,0),IF($H16&gt;=Inputs!$B$19,Inputs!$B$18,0)))</f>
        <v>-63550</v>
      </c>
      <c r="F16" s="46"/>
      <c r="G16" s="46"/>
      <c r="H16" s="39">
        <v>11.0</v>
      </c>
    </row>
    <row r="17" ht="14.25" customHeight="1">
      <c r="A17" s="35">
        <v>46357.0</v>
      </c>
      <c r="B17" s="36">
        <f>B16+D17+(IF($H17=Inputs!$B$8,Inputs!$B$7,0))</f>
        <v>1977200</v>
      </c>
      <c r="C17" s="36">
        <f>C16+E17+(IF($H17=Inputs!$B$8,Inputs!$B$7,0))</f>
        <v>1916762.5</v>
      </c>
      <c r="D17" s="36">
        <f>(VLOOKUP($A17,Inputs!$A$24:$B$35,2,FALSE))-(SUM(VLOOKUP($A17,Inputs!$A$24:$C$35,3,FALSE),(VLOOKUP($A17,Inputs!$A$24:$B$35,2,FALSE))*Inputs!$B$11,MIN((VLOOKUP($A17,Inputs!$A$24:$B$35,2,FALSE))*Inputs!$B$15,((VLOOKUP($A17,Inputs!$A$24:$B$35,2,FALSE))*Inputs!$B$13)*(VLOOKUP((VLOOKUP($A17,Inputs!$A$24:$B$35,2,FALSE))*Inputs!$B$13,Tiers!$A$4:$B$7,2,TRUE))),VLOOKUP($A17,Inputs!$A$24:$D$35,4,FALSE),IF($H17&gt;=Inputs!$B$17,Inputs!$B$16,0),IF($H17&gt;=Inputs!$B$19,Inputs!$B$18,0)))</f>
        <v>-41400</v>
      </c>
      <c r="E17" s="36">
        <f>((VLOOKUP($A17,Inputs!$A$24:$B$35,2,FALSE))*Inputs!$B$5)-(SUM(VLOOKUP($A17,Inputs!$A$24:$C$35,3,FALSE),((VLOOKUP($A17,Inputs!$A$24:$B$35,2,FALSE))*Inputs!$B$5)*Inputs!$B$12,MIN(((VLOOKUP($A17,Inputs!$A$24:$B$35,2,FALSE))*Inputs!$B$5)*Inputs!$B$15,(((VLOOKUP($A17,Inputs!$A$24:$B$35,2,FALSE))*Inputs!$B$5)*Inputs!$B$13)*(VLOOKUP(((VLOOKUP($A17,Inputs!$A$24:$B$35,2,FALSE))*Inputs!$B$5)*Inputs!$B$13,Tiers!$A$4:$B$7,2,TRUE)*Inputs!$B$14)),VLOOKUP($A17,Inputs!$A$24:$D$35,4,FALSE),IF($H17&gt;=Inputs!$B$17,Inputs!$B$16,0),IF($H17&gt;=Inputs!$B$19,Inputs!$B$18,0)))</f>
        <v>-53087.5</v>
      </c>
      <c r="F17" s="46"/>
      <c r="G17" s="46"/>
      <c r="H17" s="39">
        <v>12.0</v>
      </c>
    </row>
    <row r="18" ht="14.25" customHeight="1"/>
    <row r="19" ht="14.25" customHeight="1">
      <c r="A19" s="29" t="s">
        <v>77</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G1"/>
    <mergeCell ref="A19:G19"/>
  </mergeCells>
  <printOptions/>
  <pageMargins bottom="0.75" footer="0.0" header="0.0" left="0.7" right="0.7" top="0.75"/>
  <pageSetup orientation="landscape"/>
  <drawing r:id="rId2"/>
  <legacyDrawing r:id="rId3"/>
</worksheet>
</file>